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HUSHAN\Downloads\"/>
    </mc:Choice>
  </mc:AlternateContent>
  <xr:revisionPtr revIDLastSave="0" documentId="13_ncr:1_{945133CA-C928-406C-A89F-083158636CE5}" xr6:coauthVersionLast="47" xr6:coauthVersionMax="47" xr10:uidLastSave="{00000000-0000-0000-0000-000000000000}"/>
  <bookViews>
    <workbookView xWindow="-108" yWindow="-108" windowWidth="23256" windowHeight="12456" xr2:uid="{BCDB4388-79F3-4616-BA77-D01A9D2A8545}"/>
  </bookViews>
  <sheets>
    <sheet name="Form" sheetId="1" r:id="rId1"/>
    <sheet name="Helper Sheet" sheetId="2" r:id="rId2"/>
    <sheet name="All State Data" sheetId="15" r:id="rId3"/>
    <sheet name="Database" sheetId="16" r:id="rId4"/>
  </sheets>
  <definedNames>
    <definedName name="Andhra_Pradesh">'All State Data'!$G$7:$G$83</definedName>
    <definedName name="Andman___Nicobar_Island">'All State Data'!$H$7:$H$83</definedName>
    <definedName name="Arunachal_Pradesh">'All State Data'!$I$7:$I$83</definedName>
    <definedName name="Assam">'All State Data'!$J$7:$J$83</definedName>
    <definedName name="Bihar">'All State Data'!$K$7:$K$83</definedName>
    <definedName name="Chandigarh">'All State Data'!$L$7:$L$83</definedName>
    <definedName name="Chattisgarh">'All State Data'!$M$7:$M$83</definedName>
    <definedName name="Dadar___Nagar_Havali">'All State Data'!$N$7:$N$83</definedName>
    <definedName name="Daman___Diu">'All State Data'!$O$7:$O$83</definedName>
    <definedName name="Delhi">'All State Data'!$P$7:$P$83</definedName>
    <definedName name="ExternalData_12" localSheetId="2" hidden="1">'All State Data'!$A$1:$B$678</definedName>
    <definedName name="Goa">'All State Data'!$Q$7:$Q$83</definedName>
    <definedName name="Gujarat">'All State Data'!$R$7:$R$83</definedName>
    <definedName name="Haryana">'All State Data'!$S$7:$S$83</definedName>
    <definedName name="Himachal_Pradesh">'All State Data'!$T$7:$T$83</definedName>
    <definedName name="Jammu___Kashmir">'All State Data'!$U$7:$U$83</definedName>
    <definedName name="Jharkhand">'All State Data'!$V$7:$V$83</definedName>
    <definedName name="Karnataka">'All State Data'!$W$7:$W$83</definedName>
    <definedName name="Kerala">'All State Data'!$X$7:$X$83</definedName>
    <definedName name="Lakshadweep">'All State Data'!$Y$7:$Y$83</definedName>
    <definedName name="Madhya_Pradesh">'All State Data'!$Z$7:$Z$83</definedName>
    <definedName name="Maharashtra">'All State Data'!$AA$7:$AA$83</definedName>
    <definedName name="Manipur">'All State Data'!$AB$7:$AB$83</definedName>
    <definedName name="Meghalaya">'All State Data'!$AC$7:$AC$83</definedName>
    <definedName name="Mizoram">'All State Data'!$AD$7:$AD$83</definedName>
    <definedName name="Nagaland">'All State Data'!$AE$7:$AE$83</definedName>
    <definedName name="Orissa">'All State Data'!$AF$7:$AF$83</definedName>
    <definedName name="Pondicherry">'All State Data'!$AG$7:$AG$83</definedName>
    <definedName name="Punjab">'All State Data'!$AH$7:$AH$83</definedName>
    <definedName name="Rajasthan">'All State Data'!$AI$7:$AI$83</definedName>
    <definedName name="Select_State">'All State Data'!$F$7:$F$83</definedName>
    <definedName name="Sikkim">'All State Data'!$AJ$7:$AJ$83</definedName>
    <definedName name="Tamilnadu">'All State Data'!$AK$7:$AK$83</definedName>
    <definedName name="Tripura">'All State Data'!$AL$7:$AL$83</definedName>
    <definedName name="Uttar_Pradesh">'All State Data'!$AM$7:$AM$83</definedName>
    <definedName name="Uttrakhand">'All State Data'!$AN$7:$AN$83</definedName>
    <definedName name="West_Bengal">'All State Data'!$AO$7:$AO$83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2" l="1"/>
  <c r="I3" i="2"/>
  <c r="H3" i="2"/>
  <c r="G3" i="2"/>
  <c r="F3" i="2"/>
  <c r="E3" i="2"/>
  <c r="D3" i="2"/>
  <c r="C3" i="2"/>
  <c r="B3" i="2"/>
  <c r="K3" i="2"/>
  <c r="M16" i="1"/>
  <c r="L16" i="1"/>
  <c r="G19" i="1"/>
  <c r="F19" i="1"/>
  <c r="G16" i="1"/>
  <c r="F16" i="1"/>
  <c r="J8" i="15" a="1"/>
  <c r="J8" i="15" s="1"/>
  <c r="K8" i="15" a="1"/>
  <c r="K8" i="15" s="1"/>
  <c r="L8" i="15" a="1"/>
  <c r="L8" i="15" s="1"/>
  <c r="M8" i="15" a="1"/>
  <c r="M8" i="15" s="1"/>
  <c r="N8" i="15" a="1"/>
  <c r="N8" i="15" s="1"/>
  <c r="O8" i="15" a="1"/>
  <c r="O8" i="15" s="1"/>
  <c r="P8" i="15" a="1"/>
  <c r="P8" i="15" s="1"/>
  <c r="Q8" i="15" a="1"/>
  <c r="Q8" i="15"/>
  <c r="R8" i="15" a="1"/>
  <c r="R8" i="15" s="1"/>
  <c r="S8" i="15" a="1"/>
  <c r="S8" i="15" s="1"/>
  <c r="T8" i="15" a="1"/>
  <c r="T8" i="15" s="1"/>
  <c r="U8" i="15" a="1"/>
  <c r="U8" i="15" s="1"/>
  <c r="V8" i="15" a="1"/>
  <c r="V8" i="15" s="1"/>
  <c r="W8" i="15" a="1"/>
  <c r="W8" i="15" s="1"/>
  <c r="X8" i="15" a="1"/>
  <c r="X8" i="15" s="1"/>
  <c r="Y8" i="15" a="1"/>
  <c r="Y8" i="15"/>
  <c r="Z8" i="15" a="1"/>
  <c r="Z8" i="15" s="1"/>
  <c r="AA8" i="15" a="1"/>
  <c r="AA8" i="15" s="1"/>
  <c r="AB8" i="15" a="1"/>
  <c r="AB8" i="15" s="1"/>
  <c r="AC8" i="15" a="1"/>
  <c r="AC8" i="15" s="1"/>
  <c r="AD8" i="15" a="1"/>
  <c r="AD8" i="15" s="1"/>
  <c r="AE8" i="15" a="1"/>
  <c r="AE8" i="15" s="1"/>
  <c r="AF8" i="15" a="1"/>
  <c r="AF8" i="15" s="1"/>
  <c r="AG8" i="15" a="1"/>
  <c r="AG8" i="15"/>
  <c r="AH8" i="15" a="1"/>
  <c r="AH8" i="15" s="1"/>
  <c r="AI8" i="15" a="1"/>
  <c r="AI8" i="15" s="1"/>
  <c r="AJ8" i="15" a="1"/>
  <c r="AJ8" i="15" s="1"/>
  <c r="AK8" i="15" a="1"/>
  <c r="AK8" i="15" s="1"/>
  <c r="AL8" i="15" a="1"/>
  <c r="AL8" i="15" s="1"/>
  <c r="AM8" i="15" a="1"/>
  <c r="AM8" i="15" s="1"/>
  <c r="AN8" i="15" a="1"/>
  <c r="AN8" i="15" s="1"/>
  <c r="AO8" i="15" a="1"/>
  <c r="AO8" i="15" s="1"/>
  <c r="I8" i="15" a="1"/>
  <c r="I8" i="15" s="1"/>
  <c r="H8" i="15" a="1"/>
  <c r="H8" i="15" s="1"/>
  <c r="G8" i="15" a="1"/>
  <c r="G8" i="15" s="1"/>
  <c r="M13" i="1"/>
  <c r="L13" i="1"/>
  <c r="G13" i="1"/>
  <c r="F13" i="1"/>
  <c r="M10" i="1"/>
  <c r="L10" i="1"/>
  <c r="G10" i="1"/>
  <c r="F10" i="1"/>
  <c r="M7" i="1"/>
  <c r="L7" i="1"/>
  <c r="G7" i="1"/>
  <c r="F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E0B0FD-6CFA-4BEC-A0B8-4FE721DEC062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131DE0A1-E209-4752-B752-FB976F45E0A9}" keepAlive="1" name="Query - Table001 (Page 1)" description="Connection to the 'Table001 (Page 1)' query in the workbook." type="5" refreshedVersion="0" background="1">
    <dbPr connection="Provider=Microsoft.Mashup.OleDb.1;Data Source=$Workbook$;Location=&quot;Table001 (Page 1)&quot;;Extended Properties=&quot;&quot;" command="SELECT * FROM [Table001 (Page 1)]"/>
  </connection>
  <connection id="3" xr16:uid="{39865A3E-0099-4F71-9528-068FBF3DE13F}" keepAlive="1" name="Query - Table002 (Page 2)" description="Connection to the 'Table002 (Page 2)' query in the workbook." type="5" refreshedVersion="0" background="1">
    <dbPr connection="Provider=Microsoft.Mashup.OleDb.1;Data Source=$Workbook$;Location=&quot;Table002 (Page 2)&quot;;Extended Properties=&quot;&quot;" command="SELECT * FROM [Table002 (Page 2)]"/>
  </connection>
  <connection id="4" xr16:uid="{79D90381-0E8F-4DEC-B2C5-A7C8D96A2ECE}" keepAlive="1" name="Query - Table003 (Page 3)" description="Connection to the 'Table003 (Page 3)' query in the workbook." type="5" refreshedVersion="8" background="1" saveData="1">
    <dbPr connection="Provider=Microsoft.Mashup.OleDb.1;Data Source=$Workbook$;Location=&quot;Table003 (Page 3)&quot;;Extended Properties=&quot;&quot;" command="SELECT * FROM [Table003 (Page 3)]"/>
  </connection>
  <connection id="5" xr16:uid="{BE4E8830-3A55-48C5-BA69-6866477E0EA4}" keepAlive="1" name="Query - Table004 (Page 4)" description="Connection to the 'Table004 (Page 4)' query in the workbook." type="5" refreshedVersion="8" background="1" saveData="1">
    <dbPr connection="Provider=Microsoft.Mashup.OleDb.1;Data Source=$Workbook$;Location=&quot;Table004 (Page 4)&quot;;Extended Properties=&quot;&quot;" command="SELECT * FROM [Table004 (Page 4)]"/>
  </connection>
  <connection id="6" xr16:uid="{6FACC54B-8A2A-4760-B9A9-FB00AC175394}" keepAlive="1" name="Query - Table005 (Page 5)" description="Connection to the 'Table005 (Page 5)' query in the workbook." type="5" refreshedVersion="8" background="1" saveData="1">
    <dbPr connection="Provider=Microsoft.Mashup.OleDb.1;Data Source=$Workbook$;Location=&quot;Table005 (Page 5)&quot;;Extended Properties=&quot;&quot;" command="SELECT * FROM [Table005 (Page 5)]"/>
  </connection>
  <connection id="7" xr16:uid="{A74A082D-05B0-4BE9-9D99-4BD251E3D97B}" keepAlive="1" name="Query - Table006 (Page 6)" description="Connection to the 'Table006 (Page 6)' query in the workbook." type="5" refreshedVersion="8" background="1" saveData="1">
    <dbPr connection="Provider=Microsoft.Mashup.OleDb.1;Data Source=$Workbook$;Location=&quot;Table006 (Page 6)&quot;;Extended Properties=&quot;&quot;" command="SELECT * FROM [Table006 (Page 6)]"/>
  </connection>
  <connection id="8" xr16:uid="{22956D03-3F6D-4652-AE17-90640EA2EF74}" keepAlive="1" name="Query - Table007 (Page 7)" description="Connection to the 'Table007 (Page 7)' query in the workbook." type="5" refreshedVersion="8" background="1" saveData="1">
    <dbPr connection="Provider=Microsoft.Mashup.OleDb.1;Data Source=$Workbook$;Location=&quot;Table007 (Page 7)&quot;;Extended Properties=&quot;&quot;" command="SELECT * FROM [Table007 (Page 7)]"/>
  </connection>
  <connection id="9" xr16:uid="{D1D92F18-CEE2-48D4-8DFE-14F98FC4745F}" keepAlive="1" name="Query - Table008 (Page 8)" description="Connection to the 'Table008 (Page 8)' query in the workbook." type="5" refreshedVersion="8" background="1" saveData="1">
    <dbPr connection="Provider=Microsoft.Mashup.OleDb.1;Data Source=$Workbook$;Location=&quot;Table008 (Page 8)&quot;;Extended Properties=&quot;&quot;" command="SELECT * FROM [Table008 (Page 8)]"/>
  </connection>
  <connection id="10" xr16:uid="{B5621B5C-C587-4CF7-99DB-76F8695F215A}" keepAlive="1" name="Query - Table009 (Page 9)" description="Connection to the 'Table009 (Page 9)' query in the workbook." type="5" refreshedVersion="8" background="1" saveData="1">
    <dbPr connection="Provider=Microsoft.Mashup.OleDb.1;Data Source=$Workbook$;Location=&quot;Table009 (Page 9)&quot;;Extended Properties=&quot;&quot;" command="SELECT * FROM [Table009 (Page 9)]"/>
  </connection>
  <connection id="11" xr16:uid="{D203362D-B688-41DB-BB85-12000CF2770B}" keepAlive="1" name="Query - Table010 (Page 10)" description="Connection to the 'Table010 (Page 10)' query in the workbook." type="5" refreshedVersion="8" background="1" saveData="1">
    <dbPr connection="Provider=Microsoft.Mashup.OleDb.1;Data Source=$Workbook$;Location=&quot;Table010 (Page 10)&quot;;Extended Properties=&quot;&quot;" command="SELECT * FROM [Table010 (Page 10)]"/>
  </connection>
  <connection id="12" xr16:uid="{2C1F2757-DE63-4CA7-B22F-285B724F9DA9}" keepAlive="1" name="Query - Table011 (Page 11)" description="Connection to the 'Table011 (Page 11)' query in the workbook." type="5" refreshedVersion="8" background="1" saveData="1">
    <dbPr connection="Provider=Microsoft.Mashup.OleDb.1;Data Source=$Workbook$;Location=&quot;Table011 (Page 11)&quot;;Extended Properties=&quot;&quot;" command="SELECT * FROM [Table011 (Page 11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<sst xmlns="http://schemas.openxmlformats.org/spreadsheetml/2006/main" count="1480" uniqueCount="681">
  <si>
    <t>Phone No :</t>
  </si>
  <si>
    <t>State :</t>
  </si>
  <si>
    <t>City :</t>
  </si>
  <si>
    <t>Maharashtra</t>
  </si>
  <si>
    <t>Andhra Pradesh</t>
  </si>
  <si>
    <t>Arunachal Pradesh</t>
  </si>
  <si>
    <t>Assam</t>
  </si>
  <si>
    <t>Bihar</t>
  </si>
  <si>
    <t>Goa</t>
  </si>
  <si>
    <t>Gujarat</t>
  </si>
  <si>
    <t>Haryana</t>
  </si>
  <si>
    <t>Himachal Pradesh</t>
  </si>
  <si>
    <t>Jharkhand</t>
  </si>
  <si>
    <t>Karnataka</t>
  </si>
  <si>
    <t>Kerala</t>
  </si>
  <si>
    <t>Madhya Pradesh</t>
  </si>
  <si>
    <t>Meghalaya</t>
  </si>
  <si>
    <t>Mizoram</t>
  </si>
  <si>
    <t>Nagaland</t>
  </si>
  <si>
    <t>Punjab</t>
  </si>
  <si>
    <t>Rajasthan</t>
  </si>
  <si>
    <t>Sikkim</t>
  </si>
  <si>
    <t>Uttar Pradesh</t>
  </si>
  <si>
    <t>Delhi</t>
  </si>
  <si>
    <t>KOKRAJHAR</t>
  </si>
  <si>
    <t>LAKHIMPUR</t>
  </si>
  <si>
    <t>MARIGAON</t>
  </si>
  <si>
    <t>NAGAON</t>
  </si>
  <si>
    <t>NALBARI</t>
  </si>
  <si>
    <t>NORTH_CACHAR_HILLS</t>
  </si>
  <si>
    <t>SIBSAGAR</t>
  </si>
  <si>
    <t>SONITPUR</t>
  </si>
  <si>
    <t>TINSUKIA</t>
  </si>
  <si>
    <t>UDALGURI</t>
  </si>
  <si>
    <t>ARARIA</t>
  </si>
  <si>
    <t>ARWAL</t>
  </si>
  <si>
    <t>AURANGABAD-BI</t>
  </si>
  <si>
    <t>BANKA</t>
  </si>
  <si>
    <t>BEGUSARAI</t>
  </si>
  <si>
    <t>BHAGALPUR</t>
  </si>
  <si>
    <t>BHOJPUR</t>
  </si>
  <si>
    <t>BUXAR</t>
  </si>
  <si>
    <t>DARBHANGA</t>
  </si>
  <si>
    <t>EAST CHAMPARAN</t>
  </si>
  <si>
    <t>GAYA</t>
  </si>
  <si>
    <t>GOPALGANJ</t>
  </si>
  <si>
    <t>JAMUI</t>
  </si>
  <si>
    <t>JEHANABAD</t>
  </si>
  <si>
    <t>KAIMUR</t>
  </si>
  <si>
    <t>KATIHAR</t>
  </si>
  <si>
    <t>KHAGARIA</t>
  </si>
  <si>
    <t>KISHANGANJ</t>
  </si>
  <si>
    <t>LAKHISARAI</t>
  </si>
  <si>
    <t>MADHEPURA</t>
  </si>
  <si>
    <t>MADHUBANI</t>
  </si>
  <si>
    <t>MUNGER</t>
  </si>
  <si>
    <t>MUZAFFARPUR</t>
  </si>
  <si>
    <t>NALANDA</t>
  </si>
  <si>
    <t>NAWADA</t>
  </si>
  <si>
    <t>PATNA</t>
  </si>
  <si>
    <t>PURNIA</t>
  </si>
  <si>
    <t>ROHTAS</t>
  </si>
  <si>
    <t>SAHARSA</t>
  </si>
  <si>
    <t>SAMASTIPUR</t>
  </si>
  <si>
    <t>SARAN</t>
  </si>
  <si>
    <t>SHEIKHPURA</t>
  </si>
  <si>
    <t>SHEOHAR</t>
  </si>
  <si>
    <t>SITAMARHI</t>
  </si>
  <si>
    <t>SIWAN</t>
  </si>
  <si>
    <t>SUPAUL</t>
  </si>
  <si>
    <t>VAISHALI</t>
  </si>
  <si>
    <t>WEST CHAMPARAN</t>
  </si>
  <si>
    <t>BASTAR</t>
  </si>
  <si>
    <t>Chattisgarh</t>
  </si>
  <si>
    <t>BILASPUR-CG</t>
  </si>
  <si>
    <t>DANTEWADA</t>
  </si>
  <si>
    <t>DHAMTARI</t>
  </si>
  <si>
    <t>DURG</t>
  </si>
  <si>
    <t>JANJGIR</t>
  </si>
  <si>
    <t>JASHPUR</t>
  </si>
  <si>
    <t>KANKER</t>
  </si>
  <si>
    <t>KAWARDHA/Kabir Dham</t>
  </si>
  <si>
    <t>KORBA</t>
  </si>
  <si>
    <t>KORIYA</t>
  </si>
  <si>
    <t>MAHASAMUND</t>
  </si>
  <si>
    <t>RAIGARH-CG</t>
  </si>
  <si>
    <t>RAIPUR</t>
  </si>
  <si>
    <t>ANDAMAN_NICOBAR_IS</t>
  </si>
  <si>
    <t>Andman &amp; Nicobar Island</t>
  </si>
  <si>
    <t>ADILABAD</t>
  </si>
  <si>
    <t>ANANTAPUR</t>
  </si>
  <si>
    <t>CHITTOOR</t>
  </si>
  <si>
    <t>EAST_GODAVARI</t>
  </si>
  <si>
    <t>GUNTUR</t>
  </si>
  <si>
    <t>HYDERABAD</t>
  </si>
  <si>
    <t>Kadapa</t>
  </si>
  <si>
    <t>KARIMNAGAR</t>
  </si>
  <si>
    <t>KHAMMAM/BHADRACHALAM</t>
  </si>
  <si>
    <t>KRISHNA</t>
  </si>
  <si>
    <t>KURNOOL</t>
  </si>
  <si>
    <t>MAHBUBNAGAR</t>
  </si>
  <si>
    <t>MEDAK</t>
  </si>
  <si>
    <t>NALGONDA</t>
  </si>
  <si>
    <t>NELLORE</t>
  </si>
  <si>
    <t>NIZAMABAD</t>
  </si>
  <si>
    <t>PRAKASAM</t>
  </si>
  <si>
    <t>RANGAREDDI</t>
  </si>
  <si>
    <t>SRIKAKULAM</t>
  </si>
  <si>
    <t>VISAKHAPATNAM</t>
  </si>
  <si>
    <t>VIZIANAGARAM</t>
  </si>
  <si>
    <t>WARANGAL</t>
  </si>
  <si>
    <t>WEST_GODAVARI</t>
  </si>
  <si>
    <t>ANJAW</t>
  </si>
  <si>
    <t>CHANGLANG</t>
  </si>
  <si>
    <t>EAST KAMENG</t>
  </si>
  <si>
    <t>EAST SIANG</t>
  </si>
  <si>
    <t>KURUNG KUMEY</t>
  </si>
  <si>
    <t>LOHIT</t>
  </si>
  <si>
    <t>LOWER DIBANG_VALLEY</t>
  </si>
  <si>
    <t>LOWER SUBANSIRI</t>
  </si>
  <si>
    <t>PAPUM PARE</t>
  </si>
  <si>
    <t>TAWANG</t>
  </si>
  <si>
    <t>TIRAP</t>
  </si>
  <si>
    <t>UPPER DIBANG VALLEY</t>
  </si>
  <si>
    <t>UPPER SIANG</t>
  </si>
  <si>
    <t>UPPER SUBANSIRI</t>
  </si>
  <si>
    <t>WEST KAMENG</t>
  </si>
  <si>
    <t>WEST SIANG</t>
  </si>
  <si>
    <t>BAKSA</t>
  </si>
  <si>
    <t>BARPETA</t>
  </si>
  <si>
    <t>BONGAIGAON</t>
  </si>
  <si>
    <t>CACHAR</t>
  </si>
  <si>
    <t>CHIRANG</t>
  </si>
  <si>
    <t>DARRANG</t>
  </si>
  <si>
    <t>DHEMAJI</t>
  </si>
  <si>
    <t>DHUBRI</t>
  </si>
  <si>
    <t>DIBRUGARH</t>
  </si>
  <si>
    <t>GOALPARA</t>
  </si>
  <si>
    <t>GOLAGHAT</t>
  </si>
  <si>
    <t>HAILAKANDI</t>
  </si>
  <si>
    <t>JORHAT</t>
  </si>
  <si>
    <t>KAMRUP</t>
  </si>
  <si>
    <t>KARBI ANGLONG</t>
  </si>
  <si>
    <t>KARIMGANJ</t>
  </si>
  <si>
    <t>KAPURTHALA</t>
  </si>
  <si>
    <t>LUDHIANA</t>
  </si>
  <si>
    <t>MANSA-PU</t>
  </si>
  <si>
    <t>MOGA</t>
  </si>
  <si>
    <t>MOHALI/SASNAGAR</t>
  </si>
  <si>
    <t>MUKATSAR</t>
  </si>
  <si>
    <t>NAWANSHAHR</t>
  </si>
  <si>
    <t>PATIALA</t>
  </si>
  <si>
    <t>RUPNAGAR/ROPAR</t>
  </si>
  <si>
    <t>SANGRUR</t>
  </si>
  <si>
    <t>TARN_TARAN</t>
  </si>
  <si>
    <t>AJMER</t>
  </si>
  <si>
    <t>ALWAR</t>
  </si>
  <si>
    <t>BANSWARA</t>
  </si>
  <si>
    <t>BARAN</t>
  </si>
  <si>
    <t>BARMER</t>
  </si>
  <si>
    <t>BHARATPUR</t>
  </si>
  <si>
    <t>BHILWARA</t>
  </si>
  <si>
    <t>BIKANER</t>
  </si>
  <si>
    <t>BUNDI</t>
  </si>
  <si>
    <t>CHITTAURGARH</t>
  </si>
  <si>
    <t>CHURU</t>
  </si>
  <si>
    <t>DAUSA</t>
  </si>
  <si>
    <t>DHAULPUR</t>
  </si>
  <si>
    <t>DUNGARPUR</t>
  </si>
  <si>
    <t>GANGANAGAR</t>
  </si>
  <si>
    <t>HANUMANGARH</t>
  </si>
  <si>
    <t>JAIPUR</t>
  </si>
  <si>
    <t>JAISALMER</t>
  </si>
  <si>
    <t>JALORE</t>
  </si>
  <si>
    <t>JHALAWAR</t>
  </si>
  <si>
    <t>JHUNJHUNUN</t>
  </si>
  <si>
    <t>JODHPUR</t>
  </si>
  <si>
    <t>KARAULI</t>
  </si>
  <si>
    <t>KOTA</t>
  </si>
  <si>
    <t>NAGAUR</t>
  </si>
  <si>
    <t>PALI</t>
  </si>
  <si>
    <t>PRATAPGARH</t>
  </si>
  <si>
    <t>RAJSAMAND</t>
  </si>
  <si>
    <t>SAWAI_MADHOPUR</t>
  </si>
  <si>
    <t>SIKAR</t>
  </si>
  <si>
    <t>SIROHI</t>
  </si>
  <si>
    <t>TONK</t>
  </si>
  <si>
    <t>UDAIPUR</t>
  </si>
  <si>
    <t>EAST</t>
  </si>
  <si>
    <t>NORTH</t>
  </si>
  <si>
    <t>SOUTH</t>
  </si>
  <si>
    <t>WEST</t>
  </si>
  <si>
    <t>KANCHEEPURAM</t>
  </si>
  <si>
    <t>Tamilnadu</t>
  </si>
  <si>
    <t>SAIDAPET</t>
  </si>
  <si>
    <t>THIRUVALLORE</t>
  </si>
  <si>
    <t>POONAMALLEE</t>
  </si>
  <si>
    <t>VELLORE</t>
  </si>
  <si>
    <t>THIRUPPATTUR</t>
  </si>
  <si>
    <t>TIRUVANNAMALAI</t>
  </si>
  <si>
    <t>CHEYYAR</t>
  </si>
  <si>
    <t>CUDDALORE</t>
  </si>
  <si>
    <t>VILLUPURAM</t>
  </si>
  <si>
    <t>KALLAKURICHI</t>
  </si>
  <si>
    <t>THANJAVUR</t>
  </si>
  <si>
    <t>THIRUVARUR</t>
  </si>
  <si>
    <t>NAGAPATTINAM</t>
  </si>
  <si>
    <t>THIRUCHIRAPALLI</t>
  </si>
  <si>
    <t>KARUR</t>
  </si>
  <si>
    <t>PERAMBALUR</t>
  </si>
  <si>
    <t>PUDUKOTTAI</t>
  </si>
  <si>
    <t>ARANTHANGI</t>
  </si>
  <si>
    <t>MADURAI</t>
  </si>
  <si>
    <t>THENI</t>
  </si>
  <si>
    <t>DINDIGUL</t>
  </si>
  <si>
    <t>PALANI</t>
  </si>
  <si>
    <t>RAMANATHAPURAM</t>
  </si>
  <si>
    <t>PARAMAKUDI</t>
  </si>
  <si>
    <t>SIVAGANGA</t>
  </si>
  <si>
    <t>VIRUDHUNAGAR</t>
  </si>
  <si>
    <t>SIVAKASI</t>
  </si>
  <si>
    <t>THIRUNELVELI</t>
  </si>
  <si>
    <t>SANKARANKOIL</t>
  </si>
  <si>
    <t>THOOTHUKUDI</t>
  </si>
  <si>
    <t>KOVILPATTI</t>
  </si>
  <si>
    <t>NAGERCOIL</t>
  </si>
  <si>
    <t>SALEM</t>
  </si>
  <si>
    <t>NAMAKKAL</t>
  </si>
  <si>
    <t>DHARMAPURI</t>
  </si>
  <si>
    <t>KRISHNAGIRI</t>
  </si>
  <si>
    <t>COIMBATORE</t>
  </si>
  <si>
    <t>THIRUPPUR</t>
  </si>
  <si>
    <t>ERODE</t>
  </si>
  <si>
    <t>DHARAPURAM</t>
  </si>
  <si>
    <t>THE NILGIRIS</t>
  </si>
  <si>
    <t>CHENNAI CORP</t>
  </si>
  <si>
    <t>EAST /DHALAI TRIPURA</t>
  </si>
  <si>
    <t>Tripura</t>
  </si>
  <si>
    <t>NORTH_TRIPURA</t>
  </si>
  <si>
    <t>SOUTH_TRIPURA</t>
  </si>
  <si>
    <t>WEST_TRIPURA</t>
  </si>
  <si>
    <t>AGRA</t>
  </si>
  <si>
    <t>ALIGARH</t>
  </si>
  <si>
    <t>ALLAHABAD</t>
  </si>
  <si>
    <t>AMBEDKAR_NAGAR</t>
  </si>
  <si>
    <t>AURAIYA</t>
  </si>
  <si>
    <t>AZAMGARH</t>
  </si>
  <si>
    <t>BAGHPAT</t>
  </si>
  <si>
    <t>BAHRAICH</t>
  </si>
  <si>
    <t>BALLIA</t>
  </si>
  <si>
    <t>BALRAMPUR</t>
  </si>
  <si>
    <t>BANDA</t>
  </si>
  <si>
    <t>BARABANKI</t>
  </si>
  <si>
    <t>BAREILLY</t>
  </si>
  <si>
    <t>BASTI</t>
  </si>
  <si>
    <t>BIJNOR</t>
  </si>
  <si>
    <t>BUDAUN</t>
  </si>
  <si>
    <t>BULANDSHAHAR</t>
  </si>
  <si>
    <t>CHANDAULI</t>
  </si>
  <si>
    <t>CHITRAKOOT</t>
  </si>
  <si>
    <t>DEORIA</t>
  </si>
  <si>
    <t>ETAH</t>
  </si>
  <si>
    <t>ETAWAH</t>
  </si>
  <si>
    <t>FAIZABAD</t>
  </si>
  <si>
    <t>FARRUKHABAD</t>
  </si>
  <si>
    <t>FATEHPUR</t>
  </si>
  <si>
    <t>FIROZABAD</t>
  </si>
  <si>
    <t>GAUTAM_BUDH_NAGAR</t>
  </si>
  <si>
    <t>GHAZIABAD</t>
  </si>
  <si>
    <t>GHAZIPUR</t>
  </si>
  <si>
    <t>GONDA</t>
  </si>
  <si>
    <t>GORAKHPUR</t>
  </si>
  <si>
    <t>HAMIRPUR-UP</t>
  </si>
  <si>
    <t>HARDOI</t>
  </si>
  <si>
    <t>HATHRAS/MAHAMAYANAGAR</t>
  </si>
  <si>
    <t>JALAUN</t>
  </si>
  <si>
    <t>JAUNPUR</t>
  </si>
  <si>
    <t>JHANSI</t>
  </si>
  <si>
    <t>JYOTIBA_PHULE_NAGAR</t>
  </si>
  <si>
    <t>KANNAUJ</t>
  </si>
  <si>
    <t>KANPUR NAGAR</t>
  </si>
  <si>
    <t>KANPUR_DEHAT</t>
  </si>
  <si>
    <t>KAUSHAMBI</t>
  </si>
  <si>
    <t>KHERI</t>
  </si>
  <si>
    <t>KUSHINAGAR</t>
  </si>
  <si>
    <t>LALITPUR</t>
  </si>
  <si>
    <t>LUCKNOW</t>
  </si>
  <si>
    <t>MAHARAJGANJ</t>
  </si>
  <si>
    <t>MAHOBA</t>
  </si>
  <si>
    <t>MAINPURI</t>
  </si>
  <si>
    <t>MATHURA</t>
  </si>
  <si>
    <t>MAU</t>
  </si>
  <si>
    <t>MEERUT</t>
  </si>
  <si>
    <t>MIRZAPUR</t>
  </si>
  <si>
    <t>MORADABAD</t>
  </si>
  <si>
    <t>MUZAFFARNAGAR</t>
  </si>
  <si>
    <t>PILIBHIT</t>
  </si>
  <si>
    <t>RAEBARELI</t>
  </si>
  <si>
    <t>RAMPUR</t>
  </si>
  <si>
    <t>SAHARANPUR</t>
  </si>
  <si>
    <t>SANT_KABIR_NAGAR</t>
  </si>
  <si>
    <t>SANT_RAVIDAS_NAGAR</t>
  </si>
  <si>
    <t>SHAHJAHANPUR</t>
  </si>
  <si>
    <t>SHRAVASTI</t>
  </si>
  <si>
    <t>SIDDHARTHNAGAR</t>
  </si>
  <si>
    <t>SITAPUR</t>
  </si>
  <si>
    <t>SONBHADRA</t>
  </si>
  <si>
    <t>SULTANPUR</t>
  </si>
  <si>
    <t>UNNAO</t>
  </si>
  <si>
    <t>VARANASI</t>
  </si>
  <si>
    <t>ALMORA</t>
  </si>
  <si>
    <t>Uttrakhand</t>
  </si>
  <si>
    <t>BAGESHWAR</t>
  </si>
  <si>
    <t>CHAMOLI</t>
  </si>
  <si>
    <t>CHAMPAWAT</t>
  </si>
  <si>
    <t>DEHRADUN</t>
  </si>
  <si>
    <t>PAURI GARHWAL</t>
  </si>
  <si>
    <t>HARDWAR</t>
  </si>
  <si>
    <t>NAINITAL</t>
  </si>
  <si>
    <t>PITHORAGARH</t>
  </si>
  <si>
    <t>RUDRAPRAYAG</t>
  </si>
  <si>
    <t>TEHRI_GARHWAL</t>
  </si>
  <si>
    <t>UDHAM SINGH NAGAR</t>
  </si>
  <si>
    <t>UTTARKASHI</t>
  </si>
  <si>
    <t>BANKURA</t>
  </si>
  <si>
    <t>West Bengal</t>
  </si>
  <si>
    <t>BARDDHAMAN</t>
  </si>
  <si>
    <t>BIRBHUM</t>
  </si>
  <si>
    <t>COOCH BEHAR</t>
  </si>
  <si>
    <t>DAKSHIN_DINAJPUR</t>
  </si>
  <si>
    <t>DARJILING</t>
  </si>
  <si>
    <t>EAST MEDINIPUR</t>
  </si>
  <si>
    <t>HAORA / HOWRAH</t>
  </si>
  <si>
    <t>UMARIA</t>
  </si>
  <si>
    <t>VIDISHA</t>
  </si>
  <si>
    <t>Aizawal West</t>
  </si>
  <si>
    <t>AIZAWL East</t>
  </si>
  <si>
    <t>CHAMPHAI</t>
  </si>
  <si>
    <t>KOLASIB</t>
  </si>
  <si>
    <t>LAWNGTLAI</t>
  </si>
  <si>
    <t>LUNGLEI</t>
  </si>
  <si>
    <t>MAMIT</t>
  </si>
  <si>
    <t>SAIHA</t>
  </si>
  <si>
    <t>SERCHHIP</t>
  </si>
  <si>
    <t>DIMAPUR</t>
  </si>
  <si>
    <t>KIPHIRE</t>
  </si>
  <si>
    <t>KOHIMA</t>
  </si>
  <si>
    <t>LONGLENG</t>
  </si>
  <si>
    <t>MOKOKCHUNG</t>
  </si>
  <si>
    <t>MON</t>
  </si>
  <si>
    <t>PEREN</t>
  </si>
  <si>
    <t>PHEK</t>
  </si>
  <si>
    <t>TUENSANG</t>
  </si>
  <si>
    <t>WOKHA</t>
  </si>
  <si>
    <t>ZUNHEBOTO</t>
  </si>
  <si>
    <t>ANGUL</t>
  </si>
  <si>
    <t>Orissa</t>
  </si>
  <si>
    <t>BALANGIR</t>
  </si>
  <si>
    <t>BALESHWAR</t>
  </si>
  <si>
    <t>BARGARH</t>
  </si>
  <si>
    <t>BAUDH</t>
  </si>
  <si>
    <t>BHADRAK</t>
  </si>
  <si>
    <t>CUTTACK</t>
  </si>
  <si>
    <t>DEBAGARH</t>
  </si>
  <si>
    <t>DHENKANAL</t>
  </si>
  <si>
    <t>GAJAPATI</t>
  </si>
  <si>
    <t>GANJAM</t>
  </si>
  <si>
    <t>JAGATSINGHAPUR</t>
  </si>
  <si>
    <t>JAJPUR</t>
  </si>
  <si>
    <t>JHARSUGUDA</t>
  </si>
  <si>
    <t>KALAHANDI</t>
  </si>
  <si>
    <t>KANDHAMAL</t>
  </si>
  <si>
    <t>KENDRAPARA</t>
  </si>
  <si>
    <t>KEONJHAR</t>
  </si>
  <si>
    <t>KHURDA</t>
  </si>
  <si>
    <t>KORAPUT</t>
  </si>
  <si>
    <t>MALKANGIRI</t>
  </si>
  <si>
    <t>MAYURBHANJ</t>
  </si>
  <si>
    <t>NABARANGAPUR</t>
  </si>
  <si>
    <t>NAYAGARH</t>
  </si>
  <si>
    <t>NUAPADA</t>
  </si>
  <si>
    <t>PURI</t>
  </si>
  <si>
    <t>RAYAGADA</t>
  </si>
  <si>
    <t>SAMBALPUR</t>
  </si>
  <si>
    <t>SONAPUR / SUBARNAPUR</t>
  </si>
  <si>
    <t>SUNDARGARH</t>
  </si>
  <si>
    <t>PONDICHERRY</t>
  </si>
  <si>
    <t>Pondicherry</t>
  </si>
  <si>
    <t>AMRITSAR</t>
  </si>
  <si>
    <t>BATHINDA</t>
  </si>
  <si>
    <t>BARNALA</t>
  </si>
  <si>
    <t>FARIDKOT</t>
  </si>
  <si>
    <t>FATEGARH SAHIB</t>
  </si>
  <si>
    <t>FIROZPUR</t>
  </si>
  <si>
    <t>GURDASPUR</t>
  </si>
  <si>
    <t>HOSHIARPUR</t>
  </si>
  <si>
    <t>JALANDHAR</t>
  </si>
  <si>
    <t>RAJNANDGAON</t>
  </si>
  <si>
    <t>SURGUJA (Ambikapur)</t>
  </si>
  <si>
    <t>CHANDIGARH</t>
  </si>
  <si>
    <t>Chandigarh</t>
  </si>
  <si>
    <t>Daman</t>
  </si>
  <si>
    <t>Daman &amp; Diu</t>
  </si>
  <si>
    <t>DIU</t>
  </si>
  <si>
    <t>Central</t>
  </si>
  <si>
    <t>CITY ZONE</t>
  </si>
  <si>
    <t>Civili Line</t>
  </si>
  <si>
    <t>Karol Bagh</t>
  </si>
  <si>
    <t>Najafgarh</t>
  </si>
  <si>
    <t>NARELA</t>
  </si>
  <si>
    <t>Rohini</t>
  </si>
  <si>
    <t>S. Pahar Ganj</t>
  </si>
  <si>
    <t>Shahadra (N)</t>
  </si>
  <si>
    <t>Shahadra (S)</t>
  </si>
  <si>
    <t>West</t>
  </si>
  <si>
    <t>DADRA_&amp;_NAGAR_HAVELI</t>
  </si>
  <si>
    <t>Dadar &amp; Nagar Havali</t>
  </si>
  <si>
    <t>GOA</t>
  </si>
  <si>
    <t>Ahmedabad</t>
  </si>
  <si>
    <t>Amreli</t>
  </si>
  <si>
    <t>Anand</t>
  </si>
  <si>
    <t>Banaskantha</t>
  </si>
  <si>
    <t>Bharuch</t>
  </si>
  <si>
    <t>Bhavnagar</t>
  </si>
  <si>
    <t>Dahod</t>
  </si>
  <si>
    <t>Dang</t>
  </si>
  <si>
    <t>Gandhinagar</t>
  </si>
  <si>
    <t>Godhara</t>
  </si>
  <si>
    <t>Jamnagar</t>
  </si>
  <si>
    <t>Junagadh</t>
  </si>
  <si>
    <t>Kheda</t>
  </si>
  <si>
    <t>Kutch</t>
  </si>
  <si>
    <t>Mahesana</t>
  </si>
  <si>
    <t>Narmada</t>
  </si>
  <si>
    <t>Navsari</t>
  </si>
  <si>
    <t>Patan</t>
  </si>
  <si>
    <t>Porbandar</t>
  </si>
  <si>
    <t>Rajkot</t>
  </si>
  <si>
    <t>Sabarkantha</t>
  </si>
  <si>
    <t>Surat</t>
  </si>
  <si>
    <t>Surendranagar</t>
  </si>
  <si>
    <t>Vadodara</t>
  </si>
  <si>
    <t>Valsad</t>
  </si>
  <si>
    <t>Tapi</t>
  </si>
  <si>
    <t>BILASPUR-HP</t>
  </si>
  <si>
    <t>CHAMBA</t>
  </si>
  <si>
    <t>HAMIRPUR-HP</t>
  </si>
  <si>
    <t>KANGRA</t>
  </si>
  <si>
    <t>KULLU</t>
  </si>
  <si>
    <t>MANDI</t>
  </si>
  <si>
    <t>SHIMLA</t>
  </si>
  <si>
    <t>SIRMAUR</t>
  </si>
  <si>
    <t>SOLAN</t>
  </si>
  <si>
    <t>UNA</t>
  </si>
  <si>
    <t>AMBALA</t>
  </si>
  <si>
    <t>BHIWANI</t>
  </si>
  <si>
    <t>FARIDABAD</t>
  </si>
  <si>
    <t>FATEHABAD</t>
  </si>
  <si>
    <t>GURGAON</t>
  </si>
  <si>
    <t>HISAR</t>
  </si>
  <si>
    <t>JHAJJAR</t>
  </si>
  <si>
    <t>JIND</t>
  </si>
  <si>
    <t>KAITHAL</t>
  </si>
  <si>
    <t>KARNAL</t>
  </si>
  <si>
    <t>KURUKSHETRA</t>
  </si>
  <si>
    <t>MEWAT</t>
  </si>
  <si>
    <t>NARNAUL</t>
  </si>
  <si>
    <t>PALWAL</t>
  </si>
  <si>
    <t>PANCHKULA</t>
  </si>
  <si>
    <t>PANIPAT</t>
  </si>
  <si>
    <t>REWARI</t>
  </si>
  <si>
    <t>ROHTAK</t>
  </si>
  <si>
    <t>SIRSA</t>
  </si>
  <si>
    <t>SONIPAT</t>
  </si>
  <si>
    <t>YAMUNANAGAR</t>
  </si>
  <si>
    <t>BOKARO</t>
  </si>
  <si>
    <t>CHATRA</t>
  </si>
  <si>
    <t>DEOGARH</t>
  </si>
  <si>
    <t>DHANBAD</t>
  </si>
  <si>
    <t>DUMKA</t>
  </si>
  <si>
    <t>EAST SINGHBHUM</t>
  </si>
  <si>
    <t>GARHWA</t>
  </si>
  <si>
    <t>GIRIDIH</t>
  </si>
  <si>
    <t>GODDA</t>
  </si>
  <si>
    <t>GUMLA</t>
  </si>
  <si>
    <t>HAZARIBAGH</t>
  </si>
  <si>
    <t>JAMTARA</t>
  </si>
  <si>
    <t>KODARMA</t>
  </si>
  <si>
    <t>LATHEHAR</t>
  </si>
  <si>
    <t>LOHARDAGA</t>
  </si>
  <si>
    <t>PAKUR</t>
  </si>
  <si>
    <t>PALAMU</t>
  </si>
  <si>
    <t>RANCHI</t>
  </si>
  <si>
    <t>SAHIBGANJ</t>
  </si>
  <si>
    <t>SARAIKELA-KHARSAWAN</t>
  </si>
  <si>
    <t>SIMDEGA</t>
  </si>
  <si>
    <t>WEST SINGHBHUM</t>
  </si>
  <si>
    <t>BARAMULA</t>
  </si>
  <si>
    <t>Jammu &amp; Kashmir</t>
  </si>
  <si>
    <t>DODA</t>
  </si>
  <si>
    <t>JAMMU</t>
  </si>
  <si>
    <t>KATHUA</t>
  </si>
  <si>
    <t>KISHTWAR</t>
  </si>
  <si>
    <t>POONCH</t>
  </si>
  <si>
    <t>RAJOURI</t>
  </si>
  <si>
    <t>RAMBAN</t>
  </si>
  <si>
    <t>REASI</t>
  </si>
  <si>
    <t>SAMBHA</t>
  </si>
  <si>
    <t>UDHAMPUR</t>
  </si>
  <si>
    <t>BAGALKOT</t>
  </si>
  <si>
    <t>BANGALORE RURAL</t>
  </si>
  <si>
    <t>BANGALORE Urban</t>
  </si>
  <si>
    <t>BELGAUM</t>
  </si>
  <si>
    <t>BELLARY</t>
  </si>
  <si>
    <t>BIDAR</t>
  </si>
  <si>
    <t>BIJAPUR</t>
  </si>
  <si>
    <t>CHAMARAJANAGAR</t>
  </si>
  <si>
    <t>CHIKKABALLAPUR</t>
  </si>
  <si>
    <t>CHIKMAGALUR</t>
  </si>
  <si>
    <t>CHITRADURGA</t>
  </si>
  <si>
    <t>DAKSHINA KANNADA</t>
  </si>
  <si>
    <t>DAVANAGERE</t>
  </si>
  <si>
    <t>DHARWAD</t>
  </si>
  <si>
    <t>GADAG</t>
  </si>
  <si>
    <t>GULBARGA</t>
  </si>
  <si>
    <t>HASSAN</t>
  </si>
  <si>
    <t>HAVERI</t>
  </si>
  <si>
    <t>KODAGU</t>
  </si>
  <si>
    <t>KOLAR</t>
  </si>
  <si>
    <t>KOPPAL</t>
  </si>
  <si>
    <t>MANDYA</t>
  </si>
  <si>
    <t>MYSORE</t>
  </si>
  <si>
    <t>RAICHUR</t>
  </si>
  <si>
    <t>RAMANAGARA</t>
  </si>
  <si>
    <t>SHIMOGA</t>
  </si>
  <si>
    <t>TUMKUR</t>
  </si>
  <si>
    <t>UDUPI</t>
  </si>
  <si>
    <t>UTTARA_KANNADA</t>
  </si>
  <si>
    <t>ALAPPUZHA</t>
  </si>
  <si>
    <t>Ernakulam</t>
  </si>
  <si>
    <t>IDUKKI</t>
  </si>
  <si>
    <t>KANNUR</t>
  </si>
  <si>
    <t>KASARAGOD</t>
  </si>
  <si>
    <t>KOLLAM</t>
  </si>
  <si>
    <t>KOTTAYAM</t>
  </si>
  <si>
    <t>KOZHIKODE</t>
  </si>
  <si>
    <t>MALAPPURAM</t>
  </si>
  <si>
    <t>PALAKKAD</t>
  </si>
  <si>
    <t>PATHANAMTHITTA</t>
  </si>
  <si>
    <t>THIRUVANANTHAPURAM</t>
  </si>
  <si>
    <t>THRISSUR</t>
  </si>
  <si>
    <t>WAYANAD</t>
  </si>
  <si>
    <t>LAKSHADWEEP</t>
  </si>
  <si>
    <t>Lakshadweep</t>
  </si>
  <si>
    <t>BHOI</t>
  </si>
  <si>
    <t>EAST GARO HILLS</t>
  </si>
  <si>
    <t>EAST KHASI HILLS</t>
  </si>
  <si>
    <t>JAINTIA HILLS</t>
  </si>
  <si>
    <t>SOUTH GARO HILLS</t>
  </si>
  <si>
    <t>WEST GARO HILLS</t>
  </si>
  <si>
    <t>WEST KHASI HILLS</t>
  </si>
  <si>
    <t>AHMEDNAGAR</t>
  </si>
  <si>
    <t>AKOLA</t>
  </si>
  <si>
    <t>AMARAVATI</t>
  </si>
  <si>
    <t>AURANGABAD</t>
  </si>
  <si>
    <t>BEED</t>
  </si>
  <si>
    <t>BHANDARA</t>
  </si>
  <si>
    <t>BULDANA</t>
  </si>
  <si>
    <t>CHANDRAPUR</t>
  </si>
  <si>
    <t>DHULE</t>
  </si>
  <si>
    <t>GADCHIROLI</t>
  </si>
  <si>
    <t>GONDIA</t>
  </si>
  <si>
    <t>HINGOLI</t>
  </si>
  <si>
    <t>JALGAON</t>
  </si>
  <si>
    <t>JALNA</t>
  </si>
  <si>
    <t>KOLHAPUR</t>
  </si>
  <si>
    <t>LATUR</t>
  </si>
  <si>
    <t>NAGPUR</t>
  </si>
  <si>
    <t>NANDED</t>
  </si>
  <si>
    <t>NANDURBAR</t>
  </si>
  <si>
    <t>NASIK</t>
  </si>
  <si>
    <t>OSMANABAD</t>
  </si>
  <si>
    <t>PARBHANI</t>
  </si>
  <si>
    <t>PUNE</t>
  </si>
  <si>
    <t>RAIGAD</t>
  </si>
  <si>
    <t>RATNAGIRI</t>
  </si>
  <si>
    <t>SANGLI</t>
  </si>
  <si>
    <t>SATARA</t>
  </si>
  <si>
    <t>SINDHUDURG</t>
  </si>
  <si>
    <t>SOLAPUR</t>
  </si>
  <si>
    <t>THANE</t>
  </si>
  <si>
    <t>WARDHA</t>
  </si>
  <si>
    <t>WASHIM</t>
  </si>
  <si>
    <t>YAWATMAL</t>
  </si>
  <si>
    <t>BISHNUPUR</t>
  </si>
  <si>
    <t>Manipur</t>
  </si>
  <si>
    <t>CHANDEL</t>
  </si>
  <si>
    <t>CHURACHANDPUR</t>
  </si>
  <si>
    <t>IMPHAL_EAST</t>
  </si>
  <si>
    <t>IMPHAL_WEST</t>
  </si>
  <si>
    <t>KANGPOKPI</t>
  </si>
  <si>
    <t>SENAPATI</t>
  </si>
  <si>
    <t>TAMENGLONG</t>
  </si>
  <si>
    <t>THOUBAL</t>
  </si>
  <si>
    <t>UKHRUL</t>
  </si>
  <si>
    <t>Anupur</t>
  </si>
  <si>
    <t>ASHOK NAGAR</t>
  </si>
  <si>
    <t>BALAGHAT</t>
  </si>
  <si>
    <t>BARWANI</t>
  </si>
  <si>
    <t>BETUL</t>
  </si>
  <si>
    <t>BHIND</t>
  </si>
  <si>
    <t>BHOPAL</t>
  </si>
  <si>
    <t>BURHANPUR</t>
  </si>
  <si>
    <t>CHHATARPUR</t>
  </si>
  <si>
    <t>CHHINDWARA</t>
  </si>
  <si>
    <t>DAMOH</t>
  </si>
  <si>
    <t>DATIA</t>
  </si>
  <si>
    <t>DEWAS</t>
  </si>
  <si>
    <t>DHAR</t>
  </si>
  <si>
    <t>DINDORI</t>
  </si>
  <si>
    <t>GUNA</t>
  </si>
  <si>
    <t>GWALIOR</t>
  </si>
  <si>
    <t>HARDA</t>
  </si>
  <si>
    <t>HOSHANGABAD</t>
  </si>
  <si>
    <t>INDORE</t>
  </si>
  <si>
    <t>JABALPUR</t>
  </si>
  <si>
    <t>JHABUA</t>
  </si>
  <si>
    <t>KATNI</t>
  </si>
  <si>
    <t>KHANDWA</t>
  </si>
  <si>
    <t>KHARGONE</t>
  </si>
  <si>
    <t>MANDLA</t>
  </si>
  <si>
    <t>MANDSAUR</t>
  </si>
  <si>
    <t>MORENA</t>
  </si>
  <si>
    <t>NARSINGHPUR</t>
  </si>
  <si>
    <t>NEEMUCH</t>
  </si>
  <si>
    <t>PANNA</t>
  </si>
  <si>
    <t>RAISEN</t>
  </si>
  <si>
    <t>RAJGARH</t>
  </si>
  <si>
    <t>RATLAM</t>
  </si>
  <si>
    <t>REWA</t>
  </si>
  <si>
    <t>SAGAR</t>
  </si>
  <si>
    <t>SATNA</t>
  </si>
  <si>
    <t>SEONI</t>
  </si>
  <si>
    <t>SHAHDOL</t>
  </si>
  <si>
    <t>SHAJAPUR</t>
  </si>
  <si>
    <t>SHEOPUR</t>
  </si>
  <si>
    <t>SHIVPURI</t>
  </si>
  <si>
    <t>SIDHI</t>
  </si>
  <si>
    <t>TIKAMGARH</t>
  </si>
  <si>
    <t>UJJAIN</t>
  </si>
  <si>
    <t>State</t>
  </si>
  <si>
    <t>City</t>
  </si>
  <si>
    <t>Select City</t>
  </si>
  <si>
    <t>Select State</t>
  </si>
  <si>
    <t>Gender :</t>
  </si>
  <si>
    <t xml:space="preserve">                      Male                           Female</t>
  </si>
  <si>
    <t>Terms And Conditions</t>
  </si>
  <si>
    <t>First Name :</t>
  </si>
  <si>
    <t>Last Name :</t>
  </si>
  <si>
    <t>Email ID :</t>
  </si>
  <si>
    <t>Age :</t>
  </si>
  <si>
    <t>Preferred Meeting Date :</t>
  </si>
  <si>
    <t>Preferred Meeting Time :</t>
  </si>
  <si>
    <t>I accept the Terms and Conditions</t>
  </si>
  <si>
    <t>djjd</t>
  </si>
  <si>
    <t>First Name</t>
  </si>
  <si>
    <t>Last Name</t>
  </si>
  <si>
    <t>Phone No</t>
  </si>
  <si>
    <t>Email ID</t>
  </si>
  <si>
    <t>Age</t>
  </si>
  <si>
    <t>Meeting Date</t>
  </si>
  <si>
    <t>Meeting Time</t>
  </si>
  <si>
    <t>Gender</t>
  </si>
  <si>
    <t>Clear</t>
  </si>
  <si>
    <t>Submit</t>
  </si>
  <si>
    <t>Male</t>
  </si>
  <si>
    <t/>
  </si>
  <si>
    <t>hdhd</t>
  </si>
  <si>
    <t>njjdnjd@svgsv.dj</t>
  </si>
  <si>
    <t>Evening</t>
  </si>
  <si>
    <t>Registration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</si>
</sst>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Wingdings 2"/>
      <family val="1"/>
      <charset val="2"/>
    </font>
    <font>
      <sz val="9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Segoe UI"/>
      <family val="2"/>
    </font>
    <font>
      <sz val="12"/>
      <color theme="1"/>
      <name val="Aptos Narrow"/>
      <family val="2"/>
      <scheme val="minor"/>
    </font>
    <font>
      <b/>
      <sz val="12"/>
      <name val="Cambria"/>
      <family val="1"/>
    </font>
    <font>
      <b/>
      <sz val="14"/>
      <color theme="0"/>
      <name val="Constantia"/>
      <family val="1"/>
    </font>
    <font>
      <b/>
      <sz val="20"/>
      <color theme="1"/>
      <name val="Arial Rounded MT Bold"/>
      <family val="2"/>
    </font>
    <font>
      <b/>
      <sz val="13"/>
      <color theme="1"/>
      <name val="Century"/>
      <family val="1"/>
    </font>
    <font>
      <sz val="12"/>
      <color theme="1"/>
      <name val="Wingdings 2"/>
      <family val="1"/>
      <charset val="2"/>
    </font>
    <font>
      <u/>
      <sz val="12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NumberFormat="1"/>
    <xf numFmtId="0" fontId="1" fillId="3" borderId="1" xfId="0" applyFont="1" applyFill="1" applyBorder="1"/>
    <xf numFmtId="0" fontId="7" fillId="0" borderId="0" xfId="0" applyFont="1"/>
    <xf numFmtId="1" fontId="0" fillId="0" borderId="0" xfId="0" applyNumberFormat="1"/>
    <xf numFmtId="14" fontId="0" fillId="0" borderId="0" xfId="0" applyNumberFormat="1"/>
    <xf numFmtId="0" fontId="0" fillId="0" borderId="2" xfId="0" applyBorder="1"/>
    <xf numFmtId="0" fontId="8" fillId="4" borderId="0" xfId="0" applyFont="1" applyFill="1" applyBorder="1" applyAlignment="1">
      <alignment horizontal="center" vertical="top"/>
    </xf>
    <xf numFmtId="0" fontId="0" fillId="0" borderId="0" xfId="0" applyBorder="1"/>
    <xf numFmtId="0" fontId="8" fillId="5" borderId="0" xfId="0" applyFont="1" applyFill="1" applyBorder="1" applyAlignment="1">
      <alignment horizontal="center" vertical="top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9" fillId="0" borderId="0" xfId="0" applyFont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7" xfId="0" applyBorder="1"/>
    <xf numFmtId="0" fontId="0" fillId="2" borderId="0" xfId="0" applyFill="1" applyBorder="1" applyAlignment="1">
      <alignment horizontal="center"/>
    </xf>
    <xf numFmtId="0" fontId="2" fillId="2" borderId="0" xfId="0" applyFont="1" applyFill="1" applyBorder="1"/>
    <xf numFmtId="0" fontId="3" fillId="0" borderId="0" xfId="0" applyFont="1" applyBorder="1" applyAlignment="1">
      <alignment vertical="top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0" fillId="0" borderId="0" xfId="0" applyFont="1" applyBorder="1" applyAlignment="1">
      <alignment horizontal="left" vertical="center"/>
    </xf>
    <xf numFmtId="0" fontId="6" fillId="2" borderId="0" xfId="0" applyFont="1" applyFill="1" applyBorder="1" applyAlignment="1">
      <alignment horizontal="center"/>
    </xf>
    <xf numFmtId="1" fontId="6" fillId="2" borderId="0" xfId="0" applyNumberFormat="1" applyFont="1" applyFill="1" applyBorder="1" applyAlignment="1">
      <alignment horizontal="center"/>
    </xf>
    <xf numFmtId="0" fontId="11" fillId="2" borderId="0" xfId="0" applyFont="1" applyFill="1" applyBorder="1"/>
    <xf numFmtId="0" fontId="6" fillId="2" borderId="0" xfId="0" applyFont="1" applyFill="1" applyBorder="1" applyAlignment="1">
      <alignment horizontal="left"/>
    </xf>
    <xf numFmtId="14" fontId="6" fillId="2" borderId="0" xfId="0" applyNumberFormat="1" applyFont="1" applyFill="1" applyBorder="1" applyAlignment="1">
      <alignment horizontal="center"/>
    </xf>
    <xf numFmtId="0" fontId="12" fillId="2" borderId="0" xfId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4">
    <dxf>
      <font>
        <b/>
        <i val="0"/>
      </font>
      <fill>
        <patternFill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none"/>
      </font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CheckBox" checked="Checked" fmlaLink="$Q$18" lockText="1" noThreeD="1"/>
</file>

<file path=xl/ctrlProps/ctrlProp2.xml><?xml version="1.0" encoding="utf-8"?>
<formControlPr xmlns="http://schemas.microsoft.com/office/spreadsheetml/2009/9/main" objectType="Radio" checked="Checked" firstButton="1" fmlaLink="$Q$17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327660</xdr:colOff>
          <xdr:row>17</xdr:row>
          <xdr:rowOff>152400</xdr:rowOff>
        </xdr:from>
        <xdr:to>
          <xdr:col>9</xdr:col>
          <xdr:colOff>320040</xdr:colOff>
          <xdr:row>18</xdr:row>
          <xdr:rowOff>167640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17</xdr:row>
          <xdr:rowOff>152400</xdr:rowOff>
        </xdr:from>
        <xdr:to>
          <xdr:col>10</xdr:col>
          <xdr:colOff>525780</xdr:colOff>
          <xdr:row>18</xdr:row>
          <xdr:rowOff>167640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9AACD241-142D-671A-AE65-65B5085C05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259080</xdr:colOff>
          <xdr:row>19</xdr:row>
          <xdr:rowOff>152400</xdr:rowOff>
        </xdr:from>
        <xdr:to>
          <xdr:col>8</xdr:col>
          <xdr:colOff>213360</xdr:colOff>
          <xdr:row>21</xdr:row>
          <xdr:rowOff>22860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99059</xdr:colOff>
          <xdr:row>23</xdr:row>
          <xdr:rowOff>22860</xdr:rowOff>
        </xdr:from>
        <xdr:to>
          <xdr:col>4</xdr:col>
          <xdr:colOff>412954</xdr:colOff>
          <xdr:row>24</xdr:row>
          <xdr:rowOff>190500</xdr:rowOff>
        </xdr:to>
        <xdr:pic macro="[0]!_xludf.Clear">
          <xdr:nvPicPr>
            <xdr:cNvPr id="3" name="Picture 2">
              <a:extLst>
                <a:ext uri="{FF2B5EF4-FFF2-40B4-BE49-F238E27FC236}">
                  <a16:creationId xmlns:a16="http://schemas.microsoft.com/office/drawing/2014/main" id="{10978B59-7EA6-3B47-AE12-5927F8E8B9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C$29" spid="_x0000_s20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40179" y="3977640"/>
              <a:ext cx="984455" cy="342900"/>
            </a:xfrm>
            <a:prstGeom prst="roundRect">
              <a:avLst>
                <a:gd name="adj" fmla="val 16667"/>
              </a:avLst>
            </a:prstGeom>
            <a:ln>
              <a:noFill/>
            </a:ln>
            <a:effectLst>
              <a:outerShdw blurRad="76200" dist="38100" dir="7800000" algn="tl" rotWithShape="0">
                <a:srgbClr val="000000">
                  <a:alpha val="40000"/>
                </a:srgbClr>
              </a:outerShdw>
            </a:effectLst>
            <a:scene3d>
              <a:camera prst="orthographicFront"/>
              <a:lightRig rig="contrasting" dir="t">
                <a:rot lat="0" lon="0" rev="4200000"/>
              </a:lightRig>
            </a:scene3d>
            <a:sp3d prstMaterial="plastic">
              <a:bevelT w="381000" h="114300" prst="relaxedInset"/>
              <a:contourClr>
                <a:srgbClr val="969696"/>
              </a:contourClr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23</xdr:row>
          <xdr:rowOff>15240</xdr:rowOff>
        </xdr:from>
        <xdr:to>
          <xdr:col>10</xdr:col>
          <xdr:colOff>167640</xdr:colOff>
          <xdr:row>24</xdr:row>
          <xdr:rowOff>175260</xdr:rowOff>
        </xdr:to>
        <xdr:pic macro="[0]!Submit">
          <xdr:nvPicPr>
            <xdr:cNvPr id="4" name="Picture 3">
              <a:extLst>
                <a:ext uri="{FF2B5EF4-FFF2-40B4-BE49-F238E27FC236}">
                  <a16:creationId xmlns:a16="http://schemas.microsoft.com/office/drawing/2014/main" id="{9638BFE4-4B7B-9046-5FB2-377717ECE08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E$29" spid="_x0000_s208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023360" y="3970020"/>
              <a:ext cx="1127760" cy="335280"/>
            </a:xfrm>
            <a:prstGeom prst="roundRect">
              <a:avLst>
                <a:gd name="adj" fmla="val 16667"/>
              </a:avLst>
            </a:prstGeom>
            <a:ln>
              <a:noFill/>
            </a:ln>
            <a:effectLst>
              <a:outerShdw blurRad="76200" dist="38100" dir="7800000" algn="tl" rotWithShape="0">
                <a:srgbClr val="000000">
                  <a:alpha val="40000"/>
                </a:srgbClr>
              </a:outerShdw>
            </a:effectLst>
            <a:scene3d>
              <a:camera prst="orthographicFront"/>
              <a:lightRig rig="contrasting" dir="t">
                <a:rot lat="0" lon="0" rev="4200000"/>
              </a:lightRig>
            </a:scene3d>
            <a:sp3d prstMaterial="plastic">
              <a:bevelT w="381000" h="114300" prst="relaxedInset"/>
              <a:contourClr>
                <a:srgbClr val="969696"/>
              </a:contourClr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1" xr16:uid="{F5A370DA-1DE6-412D-8A36-F9904BE8C185}" autoFormatId="16" applyNumberFormats="0" applyBorderFormats="0" applyFontFormats="0" applyPatternFormats="0" applyAlignmentFormats="0" applyWidthHeightFormats="0">
  <queryTableRefresh nextId="5">
    <queryTableFields count="2">
      <queryTableField id="2" name="Column2" tableColumnId="2"/>
      <queryTableField id="3" name="Column3" tableColumnId="3"/>
    </queryTableFields>
    <queryTableDeletedFields count="1">
      <deletedField name="Column1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91C17B3-7BAF-498B-B491-EFEF7C60BE7D}" name="Append1" displayName="Append1" ref="A1:B678" tableType="queryTable" totalsRowShown="0">
  <autoFilter ref="A1:B678" xr:uid="{091C17B3-7BAF-498B-B491-EFEF7C60BE7D}"/>
  <tableColumns count="2">
    <tableColumn id="2" xr3:uid="{56AE40CA-FDDF-456A-9EF1-359CC9F3EEC1}" uniqueName="2" name="City" queryTableFieldId="2" dataDxfId="3"/>
    <tableColumn id="3" xr3:uid="{1D90CB72-D444-43F4-91BC-3F21DBE6B8F2}" uniqueName="3" name="State" queryTableFieldId="3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A508ED6-1DD9-4E8D-93DA-09FBC0A4F3CE}" name="Table3" displayName="Table3" ref="C3:L6" totalsRowShown="0" headerRowDxfId="1">
  <autoFilter ref="C3:L6" xr:uid="{3A508ED6-1DD9-4E8D-93DA-09FBC0A4F3CE}"/>
  <tableColumns count="10">
    <tableColumn id="1" xr3:uid="{F21C1A23-7F69-4C7C-BBD3-9D9FC4FF6464}" name="First Name"/>
    <tableColumn id="2" xr3:uid="{FE0761FE-3D54-4AB1-9F3C-4830A9F7B3F0}" name="Last Name"/>
    <tableColumn id="3" xr3:uid="{CAC377AE-F2C3-4FD2-AE64-5DBADE620579}" name="Phone No"/>
    <tableColumn id="4" xr3:uid="{1F2D1F23-709F-406C-805D-9126394C2322}" name="Email ID"/>
    <tableColumn id="5" xr3:uid="{0D8CBBFB-6980-4422-BD70-0D3C02F558F4}" name="Age"/>
    <tableColumn id="6" xr3:uid="{89E15825-0794-4BAB-B866-B5FBFBC9E96F}" name="Meeting Date"/>
    <tableColumn id="7" xr3:uid="{E929F1CE-E36C-461E-BF45-62505F761095}" name="Meeting Time"/>
    <tableColumn id="8" xr3:uid="{7A004AE8-A5E9-4D5E-BDCE-E3EDC2422208}" name="State"/>
    <tableColumn id="9" xr3:uid="{5E5CB4F9-FCBC-4508-9B80-780CC8ED0740}" name="City"/>
    <tableColumn id="10" xr3:uid="{37241AAF-8D25-41EB-9692-B3C80F708E58}" name="Gender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04CC2-005C-495A-A8BE-1D00541EB0B9}">
  <sheetPr codeName="Sheet1"/>
  <dimension ref="B1:Q29"/>
  <sheetViews>
    <sheetView showGridLines="0" tabSelected="1" workbookViewId="0">
      <selection activeCell="I7" activeCellId="9" sqref="C13:E13 C10:F10 F13 C16:F16 C19:F19 I19:L19 I16:L16 I13:L13 I10:L10 I7:L7"/>
    </sheetView>
  </sheetViews>
  <sheetFormatPr defaultRowHeight="13.8"/>
  <cols>
    <col min="2" max="2" width="2.796875" customWidth="1"/>
    <col min="6" max="6" width="2.5" customWidth="1"/>
    <col min="7" max="7" width="1.296875" customWidth="1"/>
    <col min="11" max="11" width="8.3984375" customWidth="1"/>
    <col min="12" max="12" width="2.3984375" customWidth="1"/>
    <col min="13" max="13" width="1.3984375" customWidth="1"/>
    <col min="14" max="14" width="1" customWidth="1"/>
  </cols>
  <sheetData>
    <row r="1" spans="2:14" ht="14.4" thickBot="1"/>
    <row r="2" spans="2:14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2"/>
    </row>
    <row r="3" spans="2:14">
      <c r="B3" s="13"/>
      <c r="C3" s="8"/>
      <c r="D3" s="14" t="s">
        <v>680</v>
      </c>
      <c r="E3" s="15"/>
      <c r="F3" s="15"/>
      <c r="G3" s="15"/>
      <c r="H3" s="15"/>
      <c r="I3" s="15"/>
      <c r="J3" s="15"/>
      <c r="K3" s="8"/>
      <c r="L3" s="8"/>
      <c r="M3" s="8"/>
      <c r="N3" s="16"/>
    </row>
    <row r="4" spans="2:14">
      <c r="B4" s="13"/>
      <c r="C4" s="8"/>
      <c r="D4" s="15"/>
      <c r="E4" s="15"/>
      <c r="F4" s="15"/>
      <c r="G4" s="15"/>
      <c r="H4" s="15"/>
      <c r="I4" s="15"/>
      <c r="J4" s="15"/>
      <c r="K4" s="8"/>
      <c r="L4" s="8"/>
      <c r="M4" s="8"/>
      <c r="N4" s="16"/>
    </row>
    <row r="5" spans="2:14" ht="7.8" customHeight="1">
      <c r="B5" s="13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16"/>
    </row>
    <row r="6" spans="2:14" ht="16.8">
      <c r="B6" s="13"/>
      <c r="C6" s="27" t="s">
        <v>657</v>
      </c>
      <c r="D6" s="27"/>
      <c r="E6" s="27"/>
      <c r="F6" s="27"/>
      <c r="G6" s="8"/>
      <c r="H6" s="8"/>
      <c r="I6" s="27" t="s">
        <v>658</v>
      </c>
      <c r="J6" s="27"/>
      <c r="K6" s="27"/>
      <c r="L6" s="27"/>
      <c r="M6" s="8"/>
      <c r="N6" s="16"/>
    </row>
    <row r="7" spans="2:14" ht="15.6">
      <c r="B7" s="13"/>
      <c r="C7" s="17"/>
      <c r="D7" s="17"/>
      <c r="E7" s="17"/>
      <c r="F7" s="18" t="str">
        <f>IF(ISBLANK(C7),"","P")</f>
        <v/>
      </c>
      <c r="G7" s="19" t="str">
        <f>IF(C7="","*","")</f>
        <v>*</v>
      </c>
      <c r="H7" s="8"/>
      <c r="I7" s="28"/>
      <c r="J7" s="28"/>
      <c r="K7" s="28"/>
      <c r="L7" s="30" t="str">
        <f>IF(ISBLANK(I7),"","P")</f>
        <v/>
      </c>
      <c r="M7" s="19" t="str">
        <f>IF(I7="","*","")</f>
        <v>*</v>
      </c>
      <c r="N7" s="16"/>
    </row>
    <row r="8" spans="2:14">
      <c r="B8" s="13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16"/>
    </row>
    <row r="9" spans="2:14" ht="16.8">
      <c r="B9" s="13"/>
      <c r="C9" s="27" t="s">
        <v>0</v>
      </c>
      <c r="D9" s="27"/>
      <c r="E9" s="27"/>
      <c r="F9" s="27"/>
      <c r="G9" s="8"/>
      <c r="H9" s="8"/>
      <c r="I9" s="27" t="s">
        <v>659</v>
      </c>
      <c r="J9" s="27"/>
      <c r="K9" s="27"/>
      <c r="L9" s="27"/>
      <c r="M9" s="8"/>
      <c r="N9" s="16"/>
    </row>
    <row r="10" spans="2:14" ht="15.6">
      <c r="B10" s="13"/>
      <c r="C10" s="29"/>
      <c r="D10" s="29"/>
      <c r="E10" s="29"/>
      <c r="F10" s="30" t="str">
        <f>IF(ISBLANK(C10),"","P")</f>
        <v/>
      </c>
      <c r="G10" s="19" t="str">
        <f>IF(C10="","*","")</f>
        <v>*</v>
      </c>
      <c r="H10" s="8"/>
      <c r="I10" s="33"/>
      <c r="J10" s="28"/>
      <c r="K10" s="28"/>
      <c r="L10" s="30" t="str">
        <f>IF(ISBLANK(I10),"","P")</f>
        <v/>
      </c>
      <c r="M10" s="19" t="str">
        <f>IF(I10="","*","")</f>
        <v>*</v>
      </c>
      <c r="N10" s="16"/>
    </row>
    <row r="11" spans="2:14">
      <c r="B11" s="13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16"/>
    </row>
    <row r="12" spans="2:14" ht="16.8">
      <c r="B12" s="13"/>
      <c r="C12" s="27" t="s">
        <v>660</v>
      </c>
      <c r="D12" s="27"/>
      <c r="E12" s="27"/>
      <c r="F12" s="27"/>
      <c r="G12" s="8"/>
      <c r="H12" s="8"/>
      <c r="I12" s="27" t="s">
        <v>661</v>
      </c>
      <c r="J12" s="27"/>
      <c r="K12" s="27"/>
      <c r="L12" s="27"/>
      <c r="M12" s="8"/>
      <c r="N12" s="16"/>
    </row>
    <row r="13" spans="2:14" ht="15.6">
      <c r="B13" s="13"/>
      <c r="C13" s="28"/>
      <c r="D13" s="28"/>
      <c r="E13" s="28"/>
      <c r="F13" s="30" t="str">
        <f>IF(ISBLANK(C13),"","P")</f>
        <v/>
      </c>
      <c r="G13" s="19" t="str">
        <f>IF(C13="","*","")</f>
        <v>*</v>
      </c>
      <c r="H13" s="8"/>
      <c r="I13" s="32"/>
      <c r="J13" s="32"/>
      <c r="K13" s="32"/>
      <c r="L13" s="30" t="str">
        <f>IF(ISBLANK(I13),"","P")</f>
        <v/>
      </c>
      <c r="M13" s="19" t="str">
        <f>IF(I13="","*","")</f>
        <v>*</v>
      </c>
      <c r="N13" s="16"/>
    </row>
    <row r="14" spans="2:14">
      <c r="B14" s="13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16"/>
    </row>
    <row r="15" spans="2:14" ht="16.8">
      <c r="B15" s="13"/>
      <c r="C15" s="27" t="s">
        <v>1</v>
      </c>
      <c r="D15" s="27"/>
      <c r="E15" s="27"/>
      <c r="F15" s="27"/>
      <c r="G15" s="8"/>
      <c r="H15" s="8"/>
      <c r="I15" s="27" t="s">
        <v>662</v>
      </c>
      <c r="J15" s="27"/>
      <c r="K15" s="27"/>
      <c r="L15" s="27"/>
      <c r="M15" s="8"/>
      <c r="N15" s="16"/>
    </row>
    <row r="16" spans="2:14" ht="15.6">
      <c r="B16" s="13"/>
      <c r="C16" s="28"/>
      <c r="D16" s="28"/>
      <c r="E16" s="28"/>
      <c r="F16" s="30" t="str">
        <f>IF(OR(C16="Select State",C16=""),"","P")</f>
        <v/>
      </c>
      <c r="G16" s="19" t="str">
        <f>IF(OR(C16="Select State",C16=""),"*","")</f>
        <v>*</v>
      </c>
      <c r="H16" s="8"/>
      <c r="I16" s="28"/>
      <c r="J16" s="28"/>
      <c r="K16" s="28"/>
      <c r="L16" s="30" t="str">
        <f>IF(OR(I16="Select Time",I16=""),"","P")</f>
        <v/>
      </c>
      <c r="M16" s="19" t="str">
        <f>IF(OR(I16="Select Time",I16=""),"*","")</f>
        <v>*</v>
      </c>
      <c r="N16" s="16"/>
    </row>
    <row r="17" spans="2:17">
      <c r="B17" s="13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16"/>
      <c r="Q17" s="6">
        <v>1</v>
      </c>
    </row>
    <row r="18" spans="2:17" ht="16.8">
      <c r="B18" s="13"/>
      <c r="C18" s="27" t="s">
        <v>2</v>
      </c>
      <c r="D18" s="27"/>
      <c r="E18" s="27"/>
      <c r="F18" s="27"/>
      <c r="G18" s="8"/>
      <c r="H18" s="8"/>
      <c r="I18" s="27" t="s">
        <v>654</v>
      </c>
      <c r="J18" s="27"/>
      <c r="K18" s="27"/>
      <c r="L18" s="27"/>
      <c r="M18" s="8"/>
      <c r="N18" s="16"/>
      <c r="Q18" s="6" t="b">
        <v>1</v>
      </c>
    </row>
    <row r="19" spans="2:17" ht="15.6">
      <c r="B19" s="13"/>
      <c r="C19" s="28"/>
      <c r="D19" s="28"/>
      <c r="E19" s="28"/>
      <c r="F19" s="30" t="str">
        <f>IF(OR(C19="Select City",C19=""),"","P")</f>
        <v/>
      </c>
      <c r="G19" s="19" t="str">
        <f>IF(OR(C19="Select City",C19=""),"*","")</f>
        <v>*</v>
      </c>
      <c r="H19" s="8"/>
      <c r="I19" s="31" t="s">
        <v>655</v>
      </c>
      <c r="J19" s="31"/>
      <c r="K19" s="31"/>
      <c r="L19" s="31"/>
      <c r="M19" s="8"/>
      <c r="N19" s="16"/>
    </row>
    <row r="20" spans="2:17">
      <c r="B20" s="13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16"/>
    </row>
    <row r="21" spans="2:17">
      <c r="B21" s="13"/>
      <c r="C21" s="20"/>
      <c r="D21" s="21" t="s">
        <v>656</v>
      </c>
      <c r="E21" s="21"/>
      <c r="F21" s="21"/>
      <c r="G21" s="21"/>
      <c r="H21" s="21"/>
      <c r="I21" s="21"/>
      <c r="J21" s="21"/>
      <c r="K21" s="20"/>
      <c r="L21" s="20"/>
      <c r="M21" s="20"/>
      <c r="N21" s="16"/>
    </row>
    <row r="22" spans="2:17">
      <c r="B22" s="13"/>
      <c r="C22" s="22"/>
      <c r="D22" s="23" t="s">
        <v>663</v>
      </c>
      <c r="E22" s="23"/>
      <c r="F22" s="23"/>
      <c r="G22" s="23"/>
      <c r="H22" s="23"/>
      <c r="I22" s="23"/>
      <c r="J22" s="23"/>
      <c r="K22" s="22"/>
      <c r="L22" s="22"/>
      <c r="M22" s="22"/>
      <c r="N22" s="16"/>
    </row>
    <row r="23" spans="2:17">
      <c r="B23" s="13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16"/>
    </row>
    <row r="24" spans="2:17">
      <c r="B24" s="13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16"/>
    </row>
    <row r="25" spans="2:17" ht="43.8" customHeight="1" thickBot="1">
      <c r="B25" s="24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6"/>
    </row>
    <row r="26" spans="2:17" ht="42" customHeight="1"/>
    <row r="29" spans="2:17" ht="18">
      <c r="C29" s="7" t="s">
        <v>673</v>
      </c>
      <c r="D29" s="8"/>
      <c r="E29" s="9" t="s">
        <v>674</v>
      </c>
      <c r="F29" s="8"/>
      <c r="G29" s="8"/>
      <c r="H29" s="8"/>
      <c r="I29" s="8"/>
    </row>
  </sheetData>
  <mergeCells count="23">
    <mergeCell ref="D3:J4"/>
    <mergeCell ref="I18:L18"/>
    <mergeCell ref="I15:L15"/>
    <mergeCell ref="C18:F18"/>
    <mergeCell ref="C15:F15"/>
    <mergeCell ref="C12:F12"/>
    <mergeCell ref="C9:F9"/>
    <mergeCell ref="C6:F6"/>
    <mergeCell ref="I6:L6"/>
    <mergeCell ref="I9:L9"/>
    <mergeCell ref="I12:L12"/>
    <mergeCell ref="I19:L19"/>
    <mergeCell ref="D21:J21"/>
    <mergeCell ref="D22:J22"/>
    <mergeCell ref="C13:E13"/>
    <mergeCell ref="I13:K13"/>
    <mergeCell ref="C16:E16"/>
    <mergeCell ref="C19:E19"/>
    <mergeCell ref="C7:E7"/>
    <mergeCell ref="I7:K7"/>
    <mergeCell ref="C10:E10"/>
    <mergeCell ref="I10:K10"/>
    <mergeCell ref="I16:K16"/>
  </mergeCells>
  <dataValidations count="8">
    <dataValidation type="list" allowBlank="1" showInputMessage="1" showErrorMessage="1" sqref="C19:E19" xr:uid="{FFDDDAEA-E73F-47F7-A209-3B9CFCD97712}">
      <formula1>INDIRECT($C$16)</formula1>
    </dataValidation>
    <dataValidation type="list" allowBlank="1" showInputMessage="1" showErrorMessage="1" sqref="I16:K16" xr:uid="{3D165248-A3E5-45C2-85ED-21C1898F74D7}">
      <formula1>"Select Time, Morning, Afternoon, Evening"</formula1>
    </dataValidation>
    <dataValidation type="custom" allowBlank="1" showInputMessage="1" showErrorMessage="1" errorTitle="Invalid Last Name" error="Please Enter Valid Information" sqref="I7:K7" xr:uid="{ACECCF02-BFDF-45D6-B93D-A80BA34ADD82}">
      <formula1>ISTEXT(I7)</formula1>
    </dataValidation>
    <dataValidation type="custom" allowBlank="1" showInputMessage="1" showErrorMessage="1" errorTitle="Invalid Email" error="Please Enter Valid Email" sqref="I10:K10" xr:uid="{10184CF5-6595-4C20-8952-B867C2A1DA09}">
      <formula1>ISNUMBER(MATCH("*@*.?*",I10,0))</formula1>
    </dataValidation>
    <dataValidation type="whole" allowBlank="1" showInputMessage="1" showErrorMessage="1" errorTitle="Invalid Age" error="Please Enter Valid Age" sqref="C13:E13" xr:uid="{245745CE-2A4D-4CF2-94A2-A82784D286EF}">
      <formula1>10</formula1>
      <formula2>100</formula2>
    </dataValidation>
    <dataValidation type="whole" allowBlank="1" showInputMessage="1" showErrorMessage="1" errorTitle="Invalid Number" error="Please Enter Valid Number_x000a_" sqref="C10:E10" xr:uid="{3F567966-D26D-4960-91C6-D18B909EE252}">
      <formula1>6000000000</formula1>
      <formula2>9999999999</formula2>
    </dataValidation>
    <dataValidation type="custom" allowBlank="1" showInputMessage="1" showErrorMessage="1" errorTitle="Invalid Name" error="Please Enter Valid Name" sqref="C7:E7" xr:uid="{8FB0A8AC-D011-4AB6-AA61-047D95C6961F}">
      <formula1>ISTEXT(C7)</formula1>
    </dataValidation>
    <dataValidation type="date" allowBlank="1" showInputMessage="1" showErrorMessage="1" errorTitle="Invalid Date" error="Date Enter Date Between 01/01/2000 to 01/01/2050_x000a__x000a_" sqref="I13:K13" xr:uid="{7AA5C1E8-31D0-456A-AF88-7136B4AD2502}">
      <formula1>36526</formula1>
      <formula2>54789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Check Box 7">
              <controlPr defaultSize="0" autoFill="0" autoLine="0" autoPict="0">
                <anchor moveWithCells="1">
                  <from>
                    <xdr:col>4</xdr:col>
                    <xdr:colOff>259080</xdr:colOff>
                    <xdr:row>19</xdr:row>
                    <xdr:rowOff>152400</xdr:rowOff>
                  </from>
                  <to>
                    <xdr:col>8</xdr:col>
                    <xdr:colOff>213360</xdr:colOff>
                    <xdr:row>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Option Button 5">
              <controlPr defaultSize="0" autoFill="0" autoLine="0" autoPict="0">
                <anchor moveWithCells="1">
                  <from>
                    <xdr:col>8</xdr:col>
                    <xdr:colOff>327660</xdr:colOff>
                    <xdr:row>17</xdr:row>
                    <xdr:rowOff>152400</xdr:rowOff>
                  </from>
                  <to>
                    <xdr:col>9</xdr:col>
                    <xdr:colOff>320040</xdr:colOff>
                    <xdr:row>18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Option Button 6">
              <controlPr defaultSize="0" autoFill="0" autoLine="0" autoPict="0">
                <anchor moveWithCells="1">
                  <from>
                    <xdr:col>9</xdr:col>
                    <xdr:colOff>533400</xdr:colOff>
                    <xdr:row>17</xdr:row>
                    <xdr:rowOff>152400</xdr:rowOff>
                  </from>
                  <to>
                    <xdr:col>10</xdr:col>
                    <xdr:colOff>525780</xdr:colOff>
                    <xdr:row>18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A9AB871-E128-480A-8BA0-1488A6E50B83}">
            <xm:f>AND($Q$18=TRUE,COUNTBLANK('Helper Sheet'!$B$3:$K$3)=0)</xm:f>
            <x14:dxf>
              <font>
                <b/>
                <i val="0"/>
              </font>
              <fill>
                <patternFill>
                  <bgColor theme="9"/>
                </patternFill>
              </fill>
            </x14:dxf>
          </x14:cfRule>
          <xm:sqref>E29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State" error="Please Select State From list" promptTitle="Select State" xr:uid="{CB65DB18-3FAF-4CA8-B7B6-CB937CBEC20E}">
          <x14:formula1>
            <xm:f>'All State Data'!$F$6:$AO$6</xm:f>
          </x14:formula1>
          <xm:sqref>C16:E16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5ACD1-40B8-4121-A027-14C5A6BDB788}">
  <sheetPr codeName="Sheet2"/>
  <dimension ref="B2:K3"/>
  <sheetViews>
    <sheetView workbookViewId="0">
      <selection activeCell="B3" sqref="B3:K3"/>
    </sheetView>
  </sheetViews>
  <sheetFormatPr defaultRowHeight="13.8"/>
  <cols>
    <col min="2" max="2" width="10.8984375" bestFit="1" customWidth="1"/>
    <col min="3" max="3" width="10.5" bestFit="1" customWidth="1"/>
    <col min="4" max="4" width="9.8984375" bestFit="1" customWidth="1"/>
    <col min="5" max="5" width="16.3984375" bestFit="1" customWidth="1"/>
    <col min="6" max="6" width="4.296875" bestFit="1" customWidth="1"/>
    <col min="7" max="7" width="13.09765625" bestFit="1" customWidth="1"/>
    <col min="8" max="8" width="13.59765625" bestFit="1" customWidth="1"/>
    <col min="9" max="9" width="10.09765625" bestFit="1" customWidth="1"/>
    <col min="10" max="10" width="5.796875" bestFit="1" customWidth="1"/>
    <col min="11" max="11" width="7.69921875" bestFit="1" customWidth="1"/>
  </cols>
  <sheetData>
    <row r="2" spans="2:11" ht="15">
      <c r="B2" s="3" t="s">
        <v>665</v>
      </c>
      <c r="C2" s="3" t="s">
        <v>666</v>
      </c>
      <c r="D2" s="3" t="s">
        <v>667</v>
      </c>
      <c r="E2" s="3" t="s">
        <v>668</v>
      </c>
      <c r="F2" s="3" t="s">
        <v>669</v>
      </c>
      <c r="G2" s="3" t="s">
        <v>670</v>
      </c>
      <c r="H2" s="3" t="s">
        <v>671</v>
      </c>
      <c r="I2" s="3" t="s">
        <v>650</v>
      </c>
      <c r="J2" s="3" t="s">
        <v>651</v>
      </c>
      <c r="K2" s="3" t="s">
        <v>672</v>
      </c>
    </row>
    <row r="3" spans="2:11">
      <c r="B3" t="str">
        <f>IF(Form!C7=0,"",Form!C7)</f>
        <v/>
      </c>
      <c r="C3" t="str">
        <f>IF(Form!I7=0,"",Form!I7)</f>
        <v/>
      </c>
      <c r="D3" s="4" t="str">
        <f>IF(Form!C10=0,"",Form!C10)</f>
        <v/>
      </c>
      <c r="E3" t="str">
        <f>IF(Form!I10=0,"",Form!I10)</f>
        <v/>
      </c>
      <c r="F3" t="str">
        <f>IF(Form!C13=0,"",Form!C13)</f>
        <v/>
      </c>
      <c r="G3" s="5" t="str">
        <f>IF(Form!I13=0,"",Form!I13)</f>
        <v/>
      </c>
      <c r="H3" t="str">
        <f>IF(Form!I16=0,"",Form!I16)</f>
        <v/>
      </c>
      <c r="I3" t="str">
        <f>IF(Form!C16=0,"",Form!C16)</f>
        <v/>
      </c>
      <c r="J3" t="str">
        <f>IF(Form!C19=0,"",Form!C19)</f>
        <v/>
      </c>
      <c r="K3" t="str">
        <f>IF(Form!Q17=2,"Female","Male")</f>
        <v>Male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A5BEA-6F88-4845-B669-6EC41E81BB8B}">
  <sheetPr codeName="Sheet3"/>
  <dimension ref="A1:AO678"/>
  <sheetViews>
    <sheetView workbookViewId="0">
      <selection activeCell="D10" sqref="D10"/>
    </sheetView>
  </sheetViews>
  <sheetFormatPr defaultRowHeight="13.8"/>
  <cols>
    <col min="1" max="1" width="23" bestFit="1" customWidth="1"/>
    <col min="2" max="2" width="19.796875" bestFit="1" customWidth="1"/>
    <col min="3" max="3" width="16.59765625" bestFit="1" customWidth="1"/>
    <col min="4" max="4" width="6.296875" bestFit="1" customWidth="1"/>
    <col min="5" max="5" width="5.19921875" bestFit="1" customWidth="1"/>
    <col min="6" max="41" width="21.8984375" bestFit="1" customWidth="1"/>
    <col min="42" max="43" width="10.3984375" bestFit="1" customWidth="1"/>
    <col min="44" max="49" width="20.8984375" bestFit="1" customWidth="1"/>
    <col min="50" max="50" width="21.19921875" bestFit="1" customWidth="1"/>
    <col min="51" max="76" width="20.296875" bestFit="1" customWidth="1"/>
    <col min="77" max="77" width="10.796875" bestFit="1" customWidth="1"/>
    <col min="78" max="115" width="16.796875" bestFit="1" customWidth="1"/>
    <col min="116" max="116" width="9.69921875" bestFit="1" customWidth="1"/>
    <col min="117" max="117" width="12.3984375" bestFit="1" customWidth="1"/>
    <col min="118" max="118" width="14.796875" bestFit="1" customWidth="1"/>
    <col min="119" max="134" width="20.796875" bestFit="1" customWidth="1"/>
    <col min="135" max="135" width="14.8984375" bestFit="1" customWidth="1"/>
    <col min="136" max="136" width="22.296875" bestFit="1" customWidth="1"/>
    <col min="137" max="137" width="23.3984375" bestFit="1" customWidth="1"/>
    <col min="138" max="139" width="13.19921875" bestFit="1" customWidth="1"/>
    <col min="140" max="140" width="16.19921875" bestFit="1" customWidth="1"/>
    <col min="141" max="152" width="12.19921875" bestFit="1" customWidth="1"/>
    <col min="153" max="153" width="9.59765625" bestFit="1" customWidth="1"/>
    <col min="154" max="154" width="5.8984375" bestFit="1" customWidth="1"/>
    <col min="155" max="155" width="8.69921875" bestFit="1" customWidth="1"/>
    <col min="156" max="181" width="13" bestFit="1" customWidth="1"/>
    <col min="182" max="182" width="11.5" bestFit="1" customWidth="1"/>
    <col min="183" max="203" width="14" bestFit="1" customWidth="1"/>
    <col min="204" max="204" width="12.296875" bestFit="1" customWidth="1"/>
    <col min="205" max="214" width="17.796875" bestFit="1" customWidth="1"/>
    <col min="215" max="215" width="20.69921875" bestFit="1" customWidth="1"/>
    <col min="216" max="226" width="17.296875" bestFit="1" customWidth="1"/>
    <col min="227" max="227" width="20.19921875" bestFit="1" customWidth="1"/>
    <col min="228" max="249" width="21.296875" bestFit="1" customWidth="1"/>
    <col min="250" max="250" width="13.796875" bestFit="1" customWidth="1"/>
    <col min="251" max="279" width="18.19921875" bestFit="1" customWidth="1"/>
    <col min="280" max="280" width="13.69921875" bestFit="1" customWidth="1"/>
    <col min="281" max="294" width="21.296875" bestFit="1" customWidth="1"/>
    <col min="295" max="295" width="10.59765625" bestFit="1" customWidth="1"/>
    <col min="296" max="296" width="13.69921875" bestFit="1" customWidth="1"/>
    <col min="297" max="297" width="16.59765625" bestFit="1" customWidth="1"/>
    <col min="298" max="344" width="16.09765625" bestFit="1" customWidth="1"/>
    <col min="345" max="345" width="19" bestFit="1" customWidth="1"/>
    <col min="346" max="378" width="12.8984375" bestFit="1" customWidth="1"/>
    <col min="379" max="379" width="15.8984375" bestFit="1" customWidth="1"/>
    <col min="380" max="389" width="16.5" bestFit="1" customWidth="1"/>
    <col min="390" max="390" width="12.09765625" bestFit="1" customWidth="1"/>
    <col min="391" max="397" width="17.19921875" bestFit="1" customWidth="1"/>
    <col min="398" max="398" width="14.09765625" bestFit="1" customWidth="1"/>
    <col min="399" max="407" width="11.796875" bestFit="1" customWidth="1"/>
    <col min="408" max="408" width="12.3984375" bestFit="1" customWidth="1"/>
    <col min="409" max="419" width="13.296875" bestFit="1" customWidth="1"/>
    <col min="420" max="420" width="13.19921875" bestFit="1" customWidth="1"/>
    <col min="421" max="450" width="22.296875" bestFit="1" customWidth="1"/>
    <col min="451" max="451" width="10.69921875" bestFit="1" customWidth="1"/>
    <col min="452" max="452" width="13.09765625" bestFit="1" customWidth="1"/>
    <col min="453" max="453" width="15.296875" bestFit="1" customWidth="1"/>
    <col min="454" max="473" width="17.296875" bestFit="1" customWidth="1"/>
    <col min="474" max="474" width="11" bestFit="1" customWidth="1"/>
    <col min="475" max="507" width="16.8984375" bestFit="1" customWidth="1"/>
    <col min="508" max="508" width="13.59765625" bestFit="1" customWidth="1"/>
    <col min="509" max="512" width="7.8984375" bestFit="1" customWidth="1"/>
    <col min="513" max="513" width="10.69921875" bestFit="1" customWidth="1"/>
    <col min="514" max="556" width="17.3984375" bestFit="1" customWidth="1"/>
    <col min="557" max="557" width="13.8984375" bestFit="1" customWidth="1"/>
    <col min="558" max="561" width="20" bestFit="1" customWidth="1"/>
    <col min="562" max="562" width="11.19921875" bestFit="1" customWidth="1"/>
    <col min="563" max="632" width="25.19921875" bestFit="1" customWidth="1"/>
    <col min="633" max="633" width="16.8984375" bestFit="1" customWidth="1"/>
    <col min="634" max="646" width="19.69921875" bestFit="1" customWidth="1"/>
    <col min="647" max="647" width="14.5" bestFit="1" customWidth="1"/>
    <col min="648" max="655" width="17.5" bestFit="1" customWidth="1"/>
    <col min="656" max="656" width="15.69921875" bestFit="1" customWidth="1"/>
    <col min="657" max="657" width="10.3984375" bestFit="1" customWidth="1"/>
  </cols>
  <sheetData>
    <row r="1" spans="1:41">
      <c r="A1" t="s">
        <v>651</v>
      </c>
      <c r="B1" t="s">
        <v>650</v>
      </c>
    </row>
    <row r="2" spans="1:41">
      <c r="A2" s="1" t="s">
        <v>87</v>
      </c>
      <c r="B2" s="1" t="s">
        <v>88</v>
      </c>
    </row>
    <row r="3" spans="1:41">
      <c r="A3" s="1" t="s">
        <v>89</v>
      </c>
      <c r="B3" s="1" t="s">
        <v>4</v>
      </c>
    </row>
    <row r="4" spans="1:41">
      <c r="A4" s="1" t="s">
        <v>90</v>
      </c>
      <c r="B4" s="1" t="s">
        <v>4</v>
      </c>
    </row>
    <row r="5" spans="1:41">
      <c r="A5" s="1" t="s">
        <v>91</v>
      </c>
      <c r="B5" s="1" t="s">
        <v>4</v>
      </c>
    </row>
    <row r="6" spans="1:41">
      <c r="A6" s="1" t="s">
        <v>92</v>
      </c>
      <c r="B6" s="1" t="s">
        <v>4</v>
      </c>
      <c r="F6" t="s">
        <v>653</v>
      </c>
      <c r="G6" s="2" t="s">
        <v>4</v>
      </c>
      <c r="H6" s="2" t="s">
        <v>88</v>
      </c>
      <c r="I6" s="2" t="s">
        <v>5</v>
      </c>
      <c r="J6" s="2" t="s">
        <v>6</v>
      </c>
      <c r="K6" s="2" t="s">
        <v>7</v>
      </c>
      <c r="L6" s="2" t="s">
        <v>400</v>
      </c>
      <c r="M6" s="2" t="s">
        <v>73</v>
      </c>
      <c r="N6" s="2" t="s">
        <v>416</v>
      </c>
      <c r="O6" s="2" t="s">
        <v>402</v>
      </c>
      <c r="P6" s="2" t="s">
        <v>23</v>
      </c>
      <c r="Q6" s="2" t="s">
        <v>8</v>
      </c>
      <c r="R6" s="2" t="s">
        <v>9</v>
      </c>
      <c r="S6" s="2" t="s">
        <v>10</v>
      </c>
      <c r="T6" s="2" t="s">
        <v>11</v>
      </c>
      <c r="U6" s="2" t="s">
        <v>498</v>
      </c>
      <c r="V6" s="2" t="s">
        <v>12</v>
      </c>
      <c r="W6" s="2" t="s">
        <v>13</v>
      </c>
      <c r="X6" s="2" t="s">
        <v>14</v>
      </c>
      <c r="Y6" s="2" t="s">
        <v>553</v>
      </c>
      <c r="Z6" s="2" t="s">
        <v>15</v>
      </c>
      <c r="AA6" s="2" t="s">
        <v>3</v>
      </c>
      <c r="AB6" s="2" t="s">
        <v>595</v>
      </c>
      <c r="AC6" s="2" t="s">
        <v>16</v>
      </c>
      <c r="AD6" s="2" t="s">
        <v>17</v>
      </c>
      <c r="AE6" s="2" t="s">
        <v>18</v>
      </c>
      <c r="AF6" s="2" t="s">
        <v>356</v>
      </c>
      <c r="AG6" s="2" t="s">
        <v>387</v>
      </c>
      <c r="AH6" s="2" t="s">
        <v>19</v>
      </c>
      <c r="AI6" s="2" t="s">
        <v>20</v>
      </c>
      <c r="AJ6" s="2" t="s">
        <v>21</v>
      </c>
      <c r="AK6" s="2" t="s">
        <v>193</v>
      </c>
      <c r="AL6" s="2" t="s">
        <v>237</v>
      </c>
      <c r="AM6" s="2" t="s">
        <v>22</v>
      </c>
      <c r="AN6" s="2" t="s">
        <v>311</v>
      </c>
      <c r="AO6" s="2" t="s">
        <v>325</v>
      </c>
    </row>
    <row r="7" spans="1:41">
      <c r="A7" s="1" t="s">
        <v>93</v>
      </c>
      <c r="B7" s="1" t="s">
        <v>4</v>
      </c>
      <c r="F7" t="s">
        <v>652</v>
      </c>
      <c r="G7" t="s">
        <v>652</v>
      </c>
      <c r="H7" t="s">
        <v>652</v>
      </c>
      <c r="I7" t="s">
        <v>652</v>
      </c>
      <c r="J7" t="s">
        <v>652</v>
      </c>
      <c r="K7" t="s">
        <v>652</v>
      </c>
      <c r="L7" t="s">
        <v>652</v>
      </c>
      <c r="M7" t="s">
        <v>652</v>
      </c>
      <c r="N7" t="s">
        <v>652</v>
      </c>
      <c r="O7" t="s">
        <v>652</v>
      </c>
      <c r="P7" t="s">
        <v>652</v>
      </c>
      <c r="Q7" t="s">
        <v>652</v>
      </c>
      <c r="R7" t="s">
        <v>652</v>
      </c>
      <c r="S7" t="s">
        <v>652</v>
      </c>
      <c r="T7" t="s">
        <v>652</v>
      </c>
      <c r="U7" t="s">
        <v>652</v>
      </c>
      <c r="V7" t="s">
        <v>652</v>
      </c>
      <c r="W7" t="s">
        <v>652</v>
      </c>
      <c r="X7" t="s">
        <v>652</v>
      </c>
      <c r="Y7" t="s">
        <v>652</v>
      </c>
      <c r="Z7" t="s">
        <v>652</v>
      </c>
      <c r="AA7" t="s">
        <v>652</v>
      </c>
      <c r="AB7" t="s">
        <v>652</v>
      </c>
      <c r="AC7" t="s">
        <v>652</v>
      </c>
      <c r="AD7" t="s">
        <v>652</v>
      </c>
      <c r="AE7" t="s">
        <v>652</v>
      </c>
      <c r="AF7" t="s">
        <v>652</v>
      </c>
      <c r="AG7" t="s">
        <v>652</v>
      </c>
      <c r="AH7" t="s">
        <v>652</v>
      </c>
      <c r="AI7" t="s">
        <v>652</v>
      </c>
      <c r="AJ7" t="s">
        <v>652</v>
      </c>
      <c r="AK7" t="s">
        <v>652</v>
      </c>
      <c r="AL7" t="s">
        <v>652</v>
      </c>
      <c r="AM7" t="s">
        <v>652</v>
      </c>
      <c r="AN7" t="s">
        <v>652</v>
      </c>
      <c r="AO7" t="s">
        <v>652</v>
      </c>
    </row>
    <row r="8" spans="1:41">
      <c r="A8" s="1" t="s">
        <v>94</v>
      </c>
      <c r="B8" s="1" t="s">
        <v>4</v>
      </c>
      <c r="G8" t="str" cm="1">
        <f t="array" ref="G8:G30">_xlfn._xlws.FILTER($A$2:$A$677,$B$2:$B$677=G6,"No City")</f>
        <v>ADILABAD</v>
      </c>
      <c r="H8" t="str" cm="1">
        <f t="array" ref="H8">_xlfn._xlws.FILTER($A$2:$A$677,$B$2:$B$677=H6,"No City")</f>
        <v>ANDAMAN_NICOBAR_IS</v>
      </c>
      <c r="I8" t="str" cm="1">
        <f t="array" ref="I8:I23">_xlfn._xlws.FILTER($A$2:$A$677,$B$2:$B$677=I6,"No City")</f>
        <v>ANJAW</v>
      </c>
      <c r="J8" t="str" cm="1">
        <f t="array" ref="J8:J43">_xlfn._xlws.FILTER($A$2:$A$677,$B$2:$B$677=J6,"No City")</f>
        <v>BAKSA</v>
      </c>
      <c r="K8" t="str" cm="1">
        <f t="array" ref="K8:K83">_xlfn._xlws.FILTER($A$2:$A$677,$B$2:$B$677=K6,"No City")</f>
        <v>ARARIA</v>
      </c>
      <c r="L8" t="str" cm="1">
        <f t="array" ref="L8">_xlfn._xlws.FILTER($A$2:$A$677,$B$2:$B$677=L6,"No City")</f>
        <v>CHANDIGARH</v>
      </c>
      <c r="M8" t="str" cm="1">
        <f t="array" ref="M8:M37">_xlfn._xlws.FILTER($A$2:$A$677,$B$2:$B$677=M6,"No City")</f>
        <v>BASTAR</v>
      </c>
      <c r="N8" t="str" cm="1">
        <f t="array" ref="N8">_xlfn._xlws.FILTER($A$2:$A$677,$B$2:$B$677=N6,"No City")</f>
        <v>DADRA_&amp;_NAGAR_HAVELI</v>
      </c>
      <c r="O8" t="str" cm="1">
        <f t="array" ref="O8:O9">_xlfn._xlws.FILTER($A$2:$A$677,$B$2:$B$677=O6,"No City")</f>
        <v>Daman</v>
      </c>
      <c r="P8" t="str" cm="1">
        <f t="array" ref="P8:P19">_xlfn._xlws.FILTER($A$2:$A$677,$B$2:$B$677=P6,"No City")</f>
        <v>Central</v>
      </c>
      <c r="Q8" t="str" cm="1">
        <f t="array" ref="Q8">_xlfn._xlws.FILTER($A$2:$A$677,$B$2:$B$677=Q6,"No City")</f>
        <v>GOA</v>
      </c>
      <c r="R8" t="str" cm="1">
        <f t="array" ref="R8:R33">_xlfn._xlws.FILTER($A$2:$A$677,$B$2:$B$677=R6,"No City")</f>
        <v>Ahmedabad</v>
      </c>
      <c r="S8" t="str" cm="1">
        <f t="array" ref="S8:S28">_xlfn._xlws.FILTER($A$2:$A$677,$B$2:$B$677=S6,"No City")</f>
        <v>AMBALA</v>
      </c>
      <c r="T8" t="str" cm="1">
        <f t="array" ref="T8:T17">_xlfn._xlws.FILTER($A$2:$A$677,$B$2:$B$677=T6,"No City")</f>
        <v>BILASPUR-HP</v>
      </c>
      <c r="U8" t="str" cm="1">
        <f t="array" ref="U8:U18">_xlfn._xlws.FILTER($A$2:$A$677,$B$2:$B$677=U6,"No City")</f>
        <v>BARAMULA</v>
      </c>
      <c r="V8" t="str" cm="1">
        <f t="array" ref="V8:V29">_xlfn._xlws.FILTER($A$2:$A$677,$B$2:$B$677=V6,"No City")</f>
        <v>BOKARO</v>
      </c>
      <c r="W8" t="str" cm="1">
        <f t="array" ref="W8:W36">_xlfn._xlws.FILTER($A$2:$A$677,$B$2:$B$677=W6,"No City")</f>
        <v>BAGALKOT</v>
      </c>
      <c r="X8" t="str" cm="1">
        <f t="array" ref="X8:X21">_xlfn._xlws.FILTER($A$2:$A$677,$B$2:$B$677=X6,"No City")</f>
        <v>ALAPPUZHA</v>
      </c>
      <c r="Y8" t="str" cm="1">
        <f t="array" ref="Y8">_xlfn._xlws.FILTER($A$2:$A$677,$B$2:$B$677=Y6,"No City")</f>
        <v>LAKSHADWEEP</v>
      </c>
      <c r="Z8" t="str" cm="1">
        <f t="array" ref="Z8:Z54">_xlfn._xlws.FILTER($A$2:$A$677,$B$2:$B$677=Z6,"No City")</f>
        <v>Anupur</v>
      </c>
      <c r="AA8" t="str" cm="1">
        <f t="array" ref="AA8:AA40">_xlfn._xlws.FILTER($A$2:$A$677,$B$2:$B$677=AA6,"No City")</f>
        <v>AHMEDNAGAR</v>
      </c>
      <c r="AB8" t="str" cm="1">
        <f t="array" ref="AB8:AB17">_xlfn._xlws.FILTER($A$2:$A$677,$B$2:$B$677=AB6,"No City")</f>
        <v>BISHNUPUR</v>
      </c>
      <c r="AC8" t="str" cm="1">
        <f t="array" ref="AC8:AC14">_xlfn._xlws.FILTER($A$2:$A$677,$B$2:$B$677=AC6,"No City")</f>
        <v>BHOI</v>
      </c>
      <c r="AD8" t="str" cm="1">
        <f t="array" ref="AD8:AD16">_xlfn._xlws.FILTER($A$2:$A$677,$B$2:$B$677=AD6,"No City")</f>
        <v>Aizawal West</v>
      </c>
      <c r="AE8" t="str" cm="1">
        <f t="array" ref="AE8:AE18">_xlfn._xlws.FILTER($A$2:$A$677,$B$2:$B$677=AE6,"No City")</f>
        <v>DIMAPUR</v>
      </c>
      <c r="AF8" t="str" cm="1">
        <f t="array" ref="AF8:AF37">_xlfn._xlws.FILTER($A$2:$A$677,$B$2:$B$677=AF6,"No City")</f>
        <v>ANGUL</v>
      </c>
      <c r="AG8" t="str" cm="1">
        <f t="array" ref="AG8">_xlfn._xlws.FILTER($A$2:$A$677,$B$2:$B$677=AG6,"No City")</f>
        <v>PONDICHERRY</v>
      </c>
      <c r="AH8" t="str" cm="1">
        <f t="array" ref="AH8:AH27">_xlfn._xlws.FILTER($A$2:$A$677,$B$2:$B$677=AH6,"No City")</f>
        <v>AMRITSAR</v>
      </c>
      <c r="AI8" t="str" cm="1">
        <f t="array" ref="AI8:AI40">_xlfn._xlws.FILTER($A$2:$A$677,$B$2:$B$677=AI6,"No City")</f>
        <v>AJMER</v>
      </c>
      <c r="AJ8" t="str" cm="1">
        <f t="array" ref="AJ8:AJ11">_xlfn._xlws.FILTER($A$2:$A$677,$B$2:$B$677=AJ6,"No City")</f>
        <v>EAST</v>
      </c>
      <c r="AK8" t="str" cm="1">
        <f t="array" ref="AK8:AK50">_xlfn._xlws.FILTER($A$2:$A$677,$B$2:$B$677=AK6,"No City")</f>
        <v>KANCHEEPURAM</v>
      </c>
      <c r="AL8" t="str" cm="1">
        <f t="array" ref="AL8:AL11">_xlfn._xlws.FILTER($A$2:$A$677,$B$2:$B$677=AL6,"No City")</f>
        <v>EAST /DHALAI TRIPURA</v>
      </c>
      <c r="AM8" t="str" cm="1">
        <f t="array" ref="AM8:AM77">_xlfn._xlws.FILTER($A$2:$A$677,$B$2:$B$677=AM6,"No City")</f>
        <v>AGRA</v>
      </c>
      <c r="AN8" t="str" cm="1">
        <f t="array" ref="AN8:AN20">_xlfn._xlws.FILTER($A$2:$A$677,$B$2:$B$677=AN6,"No City")</f>
        <v>ALMORA</v>
      </c>
      <c r="AO8" t="str" cm="1">
        <f t="array" ref="AO8:AO15">_xlfn._xlws.FILTER($A$2:$A$677,$B$2:$B$677=AO6,"No City")</f>
        <v>BANKURA</v>
      </c>
    </row>
    <row r="9" spans="1:41">
      <c r="A9" s="1" t="s">
        <v>95</v>
      </c>
      <c r="B9" s="1" t="s">
        <v>4</v>
      </c>
      <c r="G9" t="str">
        <v>ANANTAPUR</v>
      </c>
      <c r="I9" t="str">
        <v>CHANGLANG</v>
      </c>
      <c r="J9" t="str">
        <v>BARPETA</v>
      </c>
      <c r="K9" t="str">
        <v>ARWAL</v>
      </c>
      <c r="M9" t="str">
        <v>BILASPUR-CG</v>
      </c>
      <c r="O9" t="str">
        <v>DIU</v>
      </c>
      <c r="P9" t="str">
        <v>CITY ZONE</v>
      </c>
      <c r="R9" t="str">
        <v>Amreli</v>
      </c>
      <c r="S9" t="str">
        <v>BHIWANI</v>
      </c>
      <c r="T9" t="str">
        <v>CHAMBA</v>
      </c>
      <c r="U9" t="str">
        <v>DODA</v>
      </c>
      <c r="V9" t="str">
        <v>CHATRA</v>
      </c>
      <c r="W9" t="str">
        <v>BANGALORE RURAL</v>
      </c>
      <c r="X9" t="str">
        <v>Ernakulam</v>
      </c>
      <c r="Z9" t="str">
        <v>ASHOK NAGAR</v>
      </c>
      <c r="AA9" t="str">
        <v>AKOLA</v>
      </c>
      <c r="AB9" t="str">
        <v>CHANDEL</v>
      </c>
      <c r="AC9" t="str">
        <v>EAST GARO HILLS</v>
      </c>
      <c r="AD9" t="str">
        <v>AIZAWL East</v>
      </c>
      <c r="AE9" t="str">
        <v>KIPHIRE</v>
      </c>
      <c r="AF9" t="str">
        <v>BALANGIR</v>
      </c>
      <c r="AH9" t="str">
        <v>BATHINDA</v>
      </c>
      <c r="AI9" t="str">
        <v>ALWAR</v>
      </c>
      <c r="AJ9" t="str">
        <v>NORTH</v>
      </c>
      <c r="AK9" t="str">
        <v>SAIDAPET</v>
      </c>
      <c r="AL9" t="str">
        <v>NORTH_TRIPURA</v>
      </c>
      <c r="AM9" t="str">
        <v>ALIGARH</v>
      </c>
      <c r="AN9" t="str">
        <v>BAGESHWAR</v>
      </c>
      <c r="AO9" t="str">
        <v>BARDDHAMAN</v>
      </c>
    </row>
    <row r="10" spans="1:41">
      <c r="A10" s="1" t="s">
        <v>96</v>
      </c>
      <c r="B10" s="1" t="s">
        <v>4</v>
      </c>
      <c r="G10" t="str">
        <v>CHITTOOR</v>
      </c>
      <c r="I10" t="str">
        <v>EAST KAMENG</v>
      </c>
      <c r="J10" t="str">
        <v>BONGAIGAON</v>
      </c>
      <c r="K10" t="str">
        <v>AURANGABAD-BI</v>
      </c>
      <c r="M10" t="str">
        <v>DANTEWADA</v>
      </c>
      <c r="P10" t="str">
        <v>Civili Line</v>
      </c>
      <c r="R10" t="str">
        <v>Anand</v>
      </c>
      <c r="S10" t="str">
        <v>FARIDABAD</v>
      </c>
      <c r="T10" t="str">
        <v>HAMIRPUR-HP</v>
      </c>
      <c r="U10" t="str">
        <v>JAMMU</v>
      </c>
      <c r="V10" t="str">
        <v>DEOGARH</v>
      </c>
      <c r="W10" t="str">
        <v>BANGALORE Urban</v>
      </c>
      <c r="X10" t="str">
        <v>IDUKKI</v>
      </c>
      <c r="Z10" t="str">
        <v>BALAGHAT</v>
      </c>
      <c r="AA10" t="str">
        <v>AMARAVATI</v>
      </c>
      <c r="AB10" t="str">
        <v>CHURACHANDPUR</v>
      </c>
      <c r="AC10" t="str">
        <v>EAST KHASI HILLS</v>
      </c>
      <c r="AD10" t="str">
        <v>CHAMPHAI</v>
      </c>
      <c r="AE10" t="str">
        <v>KOHIMA</v>
      </c>
      <c r="AF10" t="str">
        <v>BALESHWAR</v>
      </c>
      <c r="AH10" t="str">
        <v>BARNALA</v>
      </c>
      <c r="AI10" t="str">
        <v>BANSWARA</v>
      </c>
      <c r="AJ10" t="str">
        <v>SOUTH</v>
      </c>
      <c r="AK10" t="str">
        <v>THIRUVALLORE</v>
      </c>
      <c r="AL10" t="str">
        <v>SOUTH_TRIPURA</v>
      </c>
      <c r="AM10" t="str">
        <v>ALLAHABAD</v>
      </c>
      <c r="AN10" t="str">
        <v>CHAMOLI</v>
      </c>
      <c r="AO10" t="str">
        <v>BIRBHUM</v>
      </c>
    </row>
    <row r="11" spans="1:41">
      <c r="A11" s="1" t="s">
        <v>97</v>
      </c>
      <c r="B11" s="1" t="s">
        <v>4</v>
      </c>
      <c r="G11" t="str">
        <v>EAST_GODAVARI</v>
      </c>
      <c r="I11" t="str">
        <v>EAST SIANG</v>
      </c>
      <c r="J11" t="str">
        <v>CACHAR</v>
      </c>
      <c r="K11" t="str">
        <v>BANKA</v>
      </c>
      <c r="M11" t="str">
        <v>DHAMTARI</v>
      </c>
      <c r="P11" t="str">
        <v>Karol Bagh</v>
      </c>
      <c r="R11" t="str">
        <v>Banaskantha</v>
      </c>
      <c r="S11" t="str">
        <v>FATEHABAD</v>
      </c>
      <c r="T11" t="str">
        <v>KANGRA</v>
      </c>
      <c r="U11" t="str">
        <v>KATHUA</v>
      </c>
      <c r="V11" t="str">
        <v>DHANBAD</v>
      </c>
      <c r="W11" t="str">
        <v>BELGAUM</v>
      </c>
      <c r="X11" t="str">
        <v>KANNUR</v>
      </c>
      <c r="Z11" t="str">
        <v>BARWANI</v>
      </c>
      <c r="AA11" t="str">
        <v>AURANGABAD</v>
      </c>
      <c r="AB11" t="str">
        <v>IMPHAL_EAST</v>
      </c>
      <c r="AC11" t="str">
        <v>JAINTIA HILLS</v>
      </c>
      <c r="AD11" t="str">
        <v>KOLASIB</v>
      </c>
      <c r="AE11" t="str">
        <v>LONGLENG</v>
      </c>
      <c r="AF11" t="str">
        <v>BARGARH</v>
      </c>
      <c r="AH11" t="str">
        <v>FARIDKOT</v>
      </c>
      <c r="AI11" t="str">
        <v>BARAN</v>
      </c>
      <c r="AJ11" t="str">
        <v>WEST</v>
      </c>
      <c r="AK11" t="str">
        <v>POONAMALLEE</v>
      </c>
      <c r="AL11" t="str">
        <v>WEST_TRIPURA</v>
      </c>
      <c r="AM11" t="str">
        <v>AMBEDKAR_NAGAR</v>
      </c>
      <c r="AN11" t="str">
        <v>CHAMPAWAT</v>
      </c>
      <c r="AO11" t="str">
        <v>COOCH BEHAR</v>
      </c>
    </row>
    <row r="12" spans="1:41">
      <c r="A12" s="1" t="s">
        <v>98</v>
      </c>
      <c r="B12" s="1" t="s">
        <v>4</v>
      </c>
      <c r="G12" t="str">
        <v>GUNTUR</v>
      </c>
      <c r="I12" t="str">
        <v>KURUNG KUMEY</v>
      </c>
      <c r="J12" t="str">
        <v>CHIRANG</v>
      </c>
      <c r="K12" t="str">
        <v>BEGUSARAI</v>
      </c>
      <c r="M12" t="str">
        <v>DURG</v>
      </c>
      <c r="P12" t="str">
        <v>Najafgarh</v>
      </c>
      <c r="R12" t="str">
        <v>Bharuch</v>
      </c>
      <c r="S12" t="str">
        <v>GURGAON</v>
      </c>
      <c r="T12" t="str">
        <v>KULLU</v>
      </c>
      <c r="U12" t="str">
        <v>KISHTWAR</v>
      </c>
      <c r="V12" t="str">
        <v>DUMKA</v>
      </c>
      <c r="W12" t="str">
        <v>BELLARY</v>
      </c>
      <c r="X12" t="str">
        <v>KASARAGOD</v>
      </c>
      <c r="Z12" t="str">
        <v>BETUL</v>
      </c>
      <c r="AA12" t="str">
        <v>BEED</v>
      </c>
      <c r="AB12" t="str">
        <v>IMPHAL_WEST</v>
      </c>
      <c r="AC12" t="str">
        <v>SOUTH GARO HILLS</v>
      </c>
      <c r="AD12" t="str">
        <v>LAWNGTLAI</v>
      </c>
      <c r="AE12" t="str">
        <v>MOKOKCHUNG</v>
      </c>
      <c r="AF12" t="str">
        <v>BAUDH</v>
      </c>
      <c r="AH12" t="str">
        <v>FATEGARH SAHIB</v>
      </c>
      <c r="AI12" t="str">
        <v>BARMER</v>
      </c>
      <c r="AK12" t="str">
        <v>VELLORE</v>
      </c>
      <c r="AM12" t="str">
        <v>AURAIYA</v>
      </c>
      <c r="AN12" t="str">
        <v>DEHRADUN</v>
      </c>
      <c r="AO12" t="str">
        <v>DAKSHIN_DINAJPUR</v>
      </c>
    </row>
    <row r="13" spans="1:41">
      <c r="A13" s="1" t="s">
        <v>99</v>
      </c>
      <c r="B13" s="1" t="s">
        <v>4</v>
      </c>
      <c r="G13" t="str">
        <v>HYDERABAD</v>
      </c>
      <c r="I13" t="str">
        <v>LOHIT</v>
      </c>
      <c r="J13" t="str">
        <v>DARRANG</v>
      </c>
      <c r="K13" t="str">
        <v>BHAGALPUR</v>
      </c>
      <c r="M13" t="str">
        <v>JANJGIR</v>
      </c>
      <c r="P13" t="str">
        <v>NARELA</v>
      </c>
      <c r="R13" t="str">
        <v>Bhavnagar</v>
      </c>
      <c r="S13" t="str">
        <v>HISAR</v>
      </c>
      <c r="T13" t="str">
        <v>MANDI</v>
      </c>
      <c r="U13" t="str">
        <v>POONCH</v>
      </c>
      <c r="V13" t="str">
        <v>EAST SINGHBHUM</v>
      </c>
      <c r="W13" t="str">
        <v>BIDAR</v>
      </c>
      <c r="X13" t="str">
        <v>KOLLAM</v>
      </c>
      <c r="Z13" t="str">
        <v>BHIND</v>
      </c>
      <c r="AA13" t="str">
        <v>BHANDARA</v>
      </c>
      <c r="AB13" t="str">
        <v>KANGPOKPI</v>
      </c>
      <c r="AC13" t="str">
        <v>WEST GARO HILLS</v>
      </c>
      <c r="AD13" t="str">
        <v>LUNGLEI</v>
      </c>
      <c r="AE13" t="str">
        <v>MON</v>
      </c>
      <c r="AF13" t="str">
        <v>BHADRAK</v>
      </c>
      <c r="AH13" t="str">
        <v>FIROZPUR</v>
      </c>
      <c r="AI13" t="str">
        <v>BHARATPUR</v>
      </c>
      <c r="AK13" t="str">
        <v>THIRUPPATTUR</v>
      </c>
      <c r="AM13" t="str">
        <v>AZAMGARH</v>
      </c>
      <c r="AN13" t="str">
        <v>PAURI GARHWAL</v>
      </c>
      <c r="AO13" t="str">
        <v>DARJILING</v>
      </c>
    </row>
    <row r="14" spans="1:41">
      <c r="A14" s="1" t="s">
        <v>100</v>
      </c>
      <c r="B14" s="1" t="s">
        <v>4</v>
      </c>
      <c r="G14" t="str">
        <v>Kadapa</v>
      </c>
      <c r="I14" t="str">
        <v>LOWER DIBANG_VALLEY</v>
      </c>
      <c r="J14" t="str">
        <v>DHEMAJI</v>
      </c>
      <c r="K14" t="str">
        <v>BHOJPUR</v>
      </c>
      <c r="M14" t="str">
        <v>JASHPUR</v>
      </c>
      <c r="P14" t="str">
        <v>Rohini</v>
      </c>
      <c r="R14" t="str">
        <v>Dahod</v>
      </c>
      <c r="S14" t="str">
        <v>JHAJJAR</v>
      </c>
      <c r="T14" t="str">
        <v>SHIMLA</v>
      </c>
      <c r="U14" t="str">
        <v>RAJOURI</v>
      </c>
      <c r="V14" t="str">
        <v>GARHWA</v>
      </c>
      <c r="W14" t="str">
        <v>BIJAPUR</v>
      </c>
      <c r="X14" t="str">
        <v>KOTTAYAM</v>
      </c>
      <c r="Z14" t="str">
        <v>BHOPAL</v>
      </c>
      <c r="AA14" t="str">
        <v>BULDANA</v>
      </c>
      <c r="AB14" t="str">
        <v>SENAPATI</v>
      </c>
      <c r="AC14" t="str">
        <v>WEST KHASI HILLS</v>
      </c>
      <c r="AD14" t="str">
        <v>MAMIT</v>
      </c>
      <c r="AE14" t="str">
        <v>PEREN</v>
      </c>
      <c r="AF14" t="str">
        <v>CUTTACK</v>
      </c>
      <c r="AH14" t="str">
        <v>GURDASPUR</v>
      </c>
      <c r="AI14" t="str">
        <v>BHILWARA</v>
      </c>
      <c r="AK14" t="str">
        <v>TIRUVANNAMALAI</v>
      </c>
      <c r="AM14" t="str">
        <v>BAGHPAT</v>
      </c>
      <c r="AN14" t="str">
        <v>HARDWAR</v>
      </c>
      <c r="AO14" t="str">
        <v>EAST MEDINIPUR</v>
      </c>
    </row>
    <row r="15" spans="1:41">
      <c r="A15" s="1" t="s">
        <v>101</v>
      </c>
      <c r="B15" s="1" t="s">
        <v>4</v>
      </c>
      <c r="G15" t="str">
        <v>KARIMNAGAR</v>
      </c>
      <c r="I15" t="str">
        <v>LOWER SUBANSIRI</v>
      </c>
      <c r="J15" t="str">
        <v>DHUBRI</v>
      </c>
      <c r="K15" t="str">
        <v>BUXAR</v>
      </c>
      <c r="M15" t="str">
        <v>KANKER</v>
      </c>
      <c r="P15" t="str">
        <v>S. Pahar Ganj</v>
      </c>
      <c r="R15" t="str">
        <v>Dang</v>
      </c>
      <c r="S15" t="str">
        <v>JIND</v>
      </c>
      <c r="T15" t="str">
        <v>SIRMAUR</v>
      </c>
      <c r="U15" t="str">
        <v>RAMBAN</v>
      </c>
      <c r="V15" t="str">
        <v>GIRIDIH</v>
      </c>
      <c r="W15" t="str">
        <v>CHAMARAJANAGAR</v>
      </c>
      <c r="X15" t="str">
        <v>KOZHIKODE</v>
      </c>
      <c r="Z15" t="str">
        <v>BURHANPUR</v>
      </c>
      <c r="AA15" t="str">
        <v>CHANDRAPUR</v>
      </c>
      <c r="AB15" t="str">
        <v>TAMENGLONG</v>
      </c>
      <c r="AD15" t="str">
        <v>SAIHA</v>
      </c>
      <c r="AE15" t="str">
        <v>PHEK</v>
      </c>
      <c r="AF15" t="str">
        <v>DEBAGARH</v>
      </c>
      <c r="AH15" t="str">
        <v>HOSHIARPUR</v>
      </c>
      <c r="AI15" t="str">
        <v>BIKANER</v>
      </c>
      <c r="AK15" t="str">
        <v>CHEYYAR</v>
      </c>
      <c r="AM15" t="str">
        <v>BAHRAICH</v>
      </c>
      <c r="AN15" t="str">
        <v>NAINITAL</v>
      </c>
      <c r="AO15" t="str">
        <v>HAORA / HOWRAH</v>
      </c>
    </row>
    <row r="16" spans="1:41">
      <c r="A16" s="1" t="s">
        <v>102</v>
      </c>
      <c r="B16" s="1" t="s">
        <v>4</v>
      </c>
      <c r="G16" t="str">
        <v>KHAMMAM/BHADRACHALAM</v>
      </c>
      <c r="I16" t="str">
        <v>PAPUM PARE</v>
      </c>
      <c r="J16" t="str">
        <v>DIBRUGARH</v>
      </c>
      <c r="K16" t="str">
        <v>DARBHANGA</v>
      </c>
      <c r="M16" t="str">
        <v>KAWARDHA/Kabir Dham</v>
      </c>
      <c r="P16" t="str">
        <v>Shahadra (N)</v>
      </c>
      <c r="R16" t="str">
        <v>Gandhinagar</v>
      </c>
      <c r="S16" t="str">
        <v>KAITHAL</v>
      </c>
      <c r="T16" t="str">
        <v>SOLAN</v>
      </c>
      <c r="U16" t="str">
        <v>REASI</v>
      </c>
      <c r="V16" t="str">
        <v>GODDA</v>
      </c>
      <c r="W16" t="str">
        <v>CHIKKABALLAPUR</v>
      </c>
      <c r="X16" t="str">
        <v>MALAPPURAM</v>
      </c>
      <c r="Z16" t="str">
        <v>CHHATARPUR</v>
      </c>
      <c r="AA16" t="str">
        <v>DHULE</v>
      </c>
      <c r="AB16" t="str">
        <v>THOUBAL</v>
      </c>
      <c r="AD16" t="str">
        <v>SERCHHIP</v>
      </c>
      <c r="AE16" t="str">
        <v>TUENSANG</v>
      </c>
      <c r="AF16" t="str">
        <v>DHENKANAL</v>
      </c>
      <c r="AH16" t="str">
        <v>JALANDHAR</v>
      </c>
      <c r="AI16" t="str">
        <v>BUNDI</v>
      </c>
      <c r="AK16" t="str">
        <v>CUDDALORE</v>
      </c>
      <c r="AM16" t="str">
        <v>BALLIA</v>
      </c>
      <c r="AN16" t="str">
        <v>PITHORAGARH</v>
      </c>
    </row>
    <row r="17" spans="1:40">
      <c r="A17" s="1" t="s">
        <v>103</v>
      </c>
      <c r="B17" s="1" t="s">
        <v>4</v>
      </c>
      <c r="G17" t="str">
        <v>KRISHNA</v>
      </c>
      <c r="I17" t="str">
        <v>TAWANG</v>
      </c>
      <c r="J17" t="str">
        <v>GOALPARA</v>
      </c>
      <c r="K17" t="str">
        <v>EAST CHAMPARAN</v>
      </c>
      <c r="M17" t="str">
        <v>KORBA</v>
      </c>
      <c r="P17" t="str">
        <v>Shahadra (S)</v>
      </c>
      <c r="R17" t="str">
        <v>Godhara</v>
      </c>
      <c r="S17" t="str">
        <v>KARNAL</v>
      </c>
      <c r="T17" t="str">
        <v>UNA</v>
      </c>
      <c r="U17" t="str">
        <v>SAMBHA</v>
      </c>
      <c r="V17" t="str">
        <v>GUMLA</v>
      </c>
      <c r="W17" t="str">
        <v>CHIKMAGALUR</v>
      </c>
      <c r="X17" t="str">
        <v>PALAKKAD</v>
      </c>
      <c r="Z17" t="str">
        <v>CHHINDWARA</v>
      </c>
      <c r="AA17" t="str">
        <v>GADCHIROLI</v>
      </c>
      <c r="AB17" t="str">
        <v>UKHRUL</v>
      </c>
      <c r="AE17" t="str">
        <v>WOKHA</v>
      </c>
      <c r="AF17" t="str">
        <v>GAJAPATI</v>
      </c>
      <c r="AH17" t="str">
        <v>KAPURTHALA</v>
      </c>
      <c r="AI17" t="str">
        <v>CHITTAURGARH</v>
      </c>
      <c r="AK17" t="str">
        <v>VILLUPURAM</v>
      </c>
      <c r="AM17" t="str">
        <v>BALRAMPUR</v>
      </c>
      <c r="AN17" t="str">
        <v>RUDRAPRAYAG</v>
      </c>
    </row>
    <row r="18" spans="1:40">
      <c r="A18" s="1" t="s">
        <v>104</v>
      </c>
      <c r="B18" s="1" t="s">
        <v>4</v>
      </c>
      <c r="G18" t="str">
        <v>KURNOOL</v>
      </c>
      <c r="I18" t="str">
        <v>TIRAP</v>
      </c>
      <c r="J18" t="str">
        <v>GOLAGHAT</v>
      </c>
      <c r="K18" t="str">
        <v>GAYA</v>
      </c>
      <c r="M18" t="str">
        <v>KORIYA</v>
      </c>
      <c r="P18" t="str">
        <v>SOUTH</v>
      </c>
      <c r="R18" t="str">
        <v>Jamnagar</v>
      </c>
      <c r="S18" t="str">
        <v>KURUKSHETRA</v>
      </c>
      <c r="U18" t="str">
        <v>UDHAMPUR</v>
      </c>
      <c r="V18" t="str">
        <v>HAZARIBAGH</v>
      </c>
      <c r="W18" t="str">
        <v>CHITRADURGA</v>
      </c>
      <c r="X18" t="str">
        <v>PATHANAMTHITTA</v>
      </c>
      <c r="Z18" t="str">
        <v>DAMOH</v>
      </c>
      <c r="AA18" t="str">
        <v>GONDIA</v>
      </c>
      <c r="AE18" t="str">
        <v>ZUNHEBOTO</v>
      </c>
      <c r="AF18" t="str">
        <v>GANJAM</v>
      </c>
      <c r="AH18" t="str">
        <v>LUDHIANA</v>
      </c>
      <c r="AI18" t="str">
        <v>CHURU</v>
      </c>
      <c r="AK18" t="str">
        <v>KALLAKURICHI</v>
      </c>
      <c r="AM18" t="str">
        <v>BANDA</v>
      </c>
      <c r="AN18" t="str">
        <v>TEHRI_GARHWAL</v>
      </c>
    </row>
    <row r="19" spans="1:40">
      <c r="A19" s="1" t="s">
        <v>105</v>
      </c>
      <c r="B19" s="1" t="s">
        <v>4</v>
      </c>
      <c r="G19" t="str">
        <v>MAHBUBNAGAR</v>
      </c>
      <c r="I19" t="str">
        <v>UPPER DIBANG VALLEY</v>
      </c>
      <c r="J19" t="str">
        <v>HAILAKANDI</v>
      </c>
      <c r="K19" t="str">
        <v>GOPALGANJ</v>
      </c>
      <c r="M19" t="str">
        <v>MAHASAMUND</v>
      </c>
      <c r="P19" t="str">
        <v>West</v>
      </c>
      <c r="R19" t="str">
        <v>Junagadh</v>
      </c>
      <c r="S19" t="str">
        <v>MEWAT</v>
      </c>
      <c r="V19" t="str">
        <v>JAMTARA</v>
      </c>
      <c r="W19" t="str">
        <v>DAKSHINA KANNADA</v>
      </c>
      <c r="X19" t="str">
        <v>THIRUVANANTHAPURAM</v>
      </c>
      <c r="Z19" t="str">
        <v>DATIA</v>
      </c>
      <c r="AA19" t="str">
        <v>HINGOLI</v>
      </c>
      <c r="AF19" t="str">
        <v>JAGATSINGHAPUR</v>
      </c>
      <c r="AH19" t="str">
        <v>MANSA-PU</v>
      </c>
      <c r="AI19" t="str">
        <v>DAUSA</v>
      </c>
      <c r="AK19" t="str">
        <v>THANJAVUR</v>
      </c>
      <c r="AM19" t="str">
        <v>BARABANKI</v>
      </c>
      <c r="AN19" t="str">
        <v>UDHAM SINGH NAGAR</v>
      </c>
    </row>
    <row r="20" spans="1:40">
      <c r="A20" s="1" t="s">
        <v>106</v>
      </c>
      <c r="B20" s="1" t="s">
        <v>4</v>
      </c>
      <c r="G20" t="str">
        <v>MEDAK</v>
      </c>
      <c r="I20" t="str">
        <v>UPPER SIANG</v>
      </c>
      <c r="J20" t="str">
        <v>JORHAT</v>
      </c>
      <c r="K20" t="str">
        <v>JAMUI</v>
      </c>
      <c r="M20" t="str">
        <v>RAIGARH-CG</v>
      </c>
      <c r="R20" t="str">
        <v>Kheda</v>
      </c>
      <c r="S20" t="str">
        <v>NARNAUL</v>
      </c>
      <c r="V20" t="str">
        <v>KODARMA</v>
      </c>
      <c r="W20" t="str">
        <v>DAVANAGERE</v>
      </c>
      <c r="X20" t="str">
        <v>THRISSUR</v>
      </c>
      <c r="Z20" t="str">
        <v>DEWAS</v>
      </c>
      <c r="AA20" t="str">
        <v>JALGAON</v>
      </c>
      <c r="AF20" t="str">
        <v>JAJPUR</v>
      </c>
      <c r="AH20" t="str">
        <v>MOGA</v>
      </c>
      <c r="AI20" t="str">
        <v>DHAULPUR</v>
      </c>
      <c r="AK20" t="str">
        <v>THIRUVARUR</v>
      </c>
      <c r="AM20" t="str">
        <v>BAREILLY</v>
      </c>
      <c r="AN20" t="str">
        <v>UTTARKASHI</v>
      </c>
    </row>
    <row r="21" spans="1:40">
      <c r="A21" s="1" t="s">
        <v>107</v>
      </c>
      <c r="B21" s="1" t="s">
        <v>4</v>
      </c>
      <c r="G21" t="str">
        <v>NALGONDA</v>
      </c>
      <c r="I21" t="str">
        <v>UPPER SUBANSIRI</v>
      </c>
      <c r="J21" t="str">
        <v>KAMRUP</v>
      </c>
      <c r="K21" t="str">
        <v>JEHANABAD</v>
      </c>
      <c r="M21" t="str">
        <v>RAIPUR</v>
      </c>
      <c r="R21" t="str">
        <v>Kutch</v>
      </c>
      <c r="S21" t="str">
        <v>PALWAL</v>
      </c>
      <c r="V21" t="str">
        <v>LATHEHAR</v>
      </c>
      <c r="W21" t="str">
        <v>DHARWAD</v>
      </c>
      <c r="X21" t="str">
        <v>WAYANAD</v>
      </c>
      <c r="Z21" t="str">
        <v>DHAR</v>
      </c>
      <c r="AA21" t="str">
        <v>JALNA</v>
      </c>
      <c r="AF21" t="str">
        <v>JHARSUGUDA</v>
      </c>
      <c r="AH21" t="str">
        <v>MOHALI/SASNAGAR</v>
      </c>
      <c r="AI21" t="str">
        <v>DUNGARPUR</v>
      </c>
      <c r="AK21" t="str">
        <v>NAGAPATTINAM</v>
      </c>
      <c r="AM21" t="str">
        <v>BASTI</v>
      </c>
    </row>
    <row r="22" spans="1:40">
      <c r="A22" s="1" t="s">
        <v>108</v>
      </c>
      <c r="B22" s="1" t="s">
        <v>4</v>
      </c>
      <c r="G22" t="str">
        <v>NELLORE</v>
      </c>
      <c r="I22" t="str">
        <v>WEST KAMENG</v>
      </c>
      <c r="J22" t="str">
        <v>KARBI ANGLONG</v>
      </c>
      <c r="K22" t="str">
        <v>KAIMUR</v>
      </c>
      <c r="M22" t="str">
        <v>BASTAR</v>
      </c>
      <c r="R22" t="str">
        <v>Mahesana</v>
      </c>
      <c r="S22" t="str">
        <v>PANCHKULA</v>
      </c>
      <c r="V22" t="str">
        <v>LOHARDAGA</v>
      </c>
      <c r="W22" t="str">
        <v>GADAG</v>
      </c>
      <c r="Z22" t="str">
        <v>DINDORI</v>
      </c>
      <c r="AA22" t="str">
        <v>KOLHAPUR</v>
      </c>
      <c r="AF22" t="str">
        <v>KALAHANDI</v>
      </c>
      <c r="AH22" t="str">
        <v>MUKATSAR</v>
      </c>
      <c r="AI22" t="str">
        <v>GANGANAGAR</v>
      </c>
      <c r="AK22" t="str">
        <v>THIRUCHIRAPALLI</v>
      </c>
      <c r="AM22" t="str">
        <v>BIJNOR</v>
      </c>
    </row>
    <row r="23" spans="1:40">
      <c r="A23" s="1" t="s">
        <v>109</v>
      </c>
      <c r="B23" s="1" t="s">
        <v>4</v>
      </c>
      <c r="G23" t="str">
        <v>NIZAMABAD</v>
      </c>
      <c r="I23" t="str">
        <v>WEST SIANG</v>
      </c>
      <c r="J23" t="str">
        <v>KARIMGANJ</v>
      </c>
      <c r="K23" t="str">
        <v>KATIHAR</v>
      </c>
      <c r="M23" t="str">
        <v>BILASPUR-CG</v>
      </c>
      <c r="R23" t="str">
        <v>Narmada</v>
      </c>
      <c r="S23" t="str">
        <v>PANIPAT</v>
      </c>
      <c r="V23" t="str">
        <v>PAKUR</v>
      </c>
      <c r="W23" t="str">
        <v>GULBARGA</v>
      </c>
      <c r="Z23" t="str">
        <v>GUNA</v>
      </c>
      <c r="AA23" t="str">
        <v>LATUR</v>
      </c>
      <c r="AF23" t="str">
        <v>KANDHAMAL</v>
      </c>
      <c r="AH23" t="str">
        <v>NAWANSHAHR</v>
      </c>
      <c r="AI23" t="str">
        <v>HANUMANGARH</v>
      </c>
      <c r="AK23" t="str">
        <v>KARUR</v>
      </c>
      <c r="AM23" t="str">
        <v>BUDAUN</v>
      </c>
    </row>
    <row r="24" spans="1:40">
      <c r="A24" s="1" t="s">
        <v>110</v>
      </c>
      <c r="B24" s="1" t="s">
        <v>4</v>
      </c>
      <c r="G24" t="str">
        <v>PRAKASAM</v>
      </c>
      <c r="J24" t="str">
        <v>KOKRAJHAR</v>
      </c>
      <c r="K24" t="str">
        <v>KHAGARIA</v>
      </c>
      <c r="M24" t="str">
        <v>DANTEWADA</v>
      </c>
      <c r="R24" t="str">
        <v>Navsari</v>
      </c>
      <c r="S24" t="str">
        <v>REWARI</v>
      </c>
      <c r="V24" t="str">
        <v>PALAMU</v>
      </c>
      <c r="W24" t="str">
        <v>HASSAN</v>
      </c>
      <c r="Z24" t="str">
        <v>GWALIOR</v>
      </c>
      <c r="AA24" t="str">
        <v>NAGPUR</v>
      </c>
      <c r="AF24" t="str">
        <v>KENDRAPARA</v>
      </c>
      <c r="AH24" t="str">
        <v>PATIALA</v>
      </c>
      <c r="AI24" t="str">
        <v>JAIPUR</v>
      </c>
      <c r="AK24" t="str">
        <v>PERAMBALUR</v>
      </c>
      <c r="AM24" t="str">
        <v>BULANDSHAHAR</v>
      </c>
    </row>
    <row r="25" spans="1:40">
      <c r="A25" s="1" t="s">
        <v>111</v>
      </c>
      <c r="B25" s="1" t="s">
        <v>4</v>
      </c>
      <c r="G25" t="str">
        <v>RANGAREDDI</v>
      </c>
      <c r="J25" t="str">
        <v>LAKHIMPUR</v>
      </c>
      <c r="K25" t="str">
        <v>KISHANGANJ</v>
      </c>
      <c r="M25" t="str">
        <v>DHAMTARI</v>
      </c>
      <c r="R25" t="str">
        <v>Patan</v>
      </c>
      <c r="S25" t="str">
        <v>ROHTAK</v>
      </c>
      <c r="V25" t="str">
        <v>RANCHI</v>
      </c>
      <c r="W25" t="str">
        <v>HAVERI</v>
      </c>
      <c r="Z25" t="str">
        <v>HARDA</v>
      </c>
      <c r="AA25" t="str">
        <v>NANDED</v>
      </c>
      <c r="AF25" t="str">
        <v>KEONJHAR</v>
      </c>
      <c r="AH25" t="str">
        <v>RUPNAGAR/ROPAR</v>
      </c>
      <c r="AI25" t="str">
        <v>JAISALMER</v>
      </c>
      <c r="AK25" t="str">
        <v>PUDUKOTTAI</v>
      </c>
      <c r="AM25" t="str">
        <v>CHANDAULI</v>
      </c>
    </row>
    <row r="26" spans="1:40">
      <c r="A26" s="1" t="s">
        <v>112</v>
      </c>
      <c r="B26" s="1" t="s">
        <v>5</v>
      </c>
      <c r="G26" t="str">
        <v>SRIKAKULAM</v>
      </c>
      <c r="J26" t="str">
        <v>MARIGAON</v>
      </c>
      <c r="K26" t="str">
        <v>LAKHISARAI</v>
      </c>
      <c r="M26" t="str">
        <v>DURG</v>
      </c>
      <c r="R26" t="str">
        <v>Porbandar</v>
      </c>
      <c r="S26" t="str">
        <v>SIRSA</v>
      </c>
      <c r="V26" t="str">
        <v>SAHIBGANJ</v>
      </c>
      <c r="W26" t="str">
        <v>KODAGU</v>
      </c>
      <c r="Z26" t="str">
        <v>HOSHANGABAD</v>
      </c>
      <c r="AA26" t="str">
        <v>NANDURBAR</v>
      </c>
      <c r="AF26" t="str">
        <v>KHURDA</v>
      </c>
      <c r="AH26" t="str">
        <v>SANGRUR</v>
      </c>
      <c r="AI26" t="str">
        <v>JALORE</v>
      </c>
      <c r="AK26" t="str">
        <v>ARANTHANGI</v>
      </c>
      <c r="AM26" t="str">
        <v>CHITRAKOOT</v>
      </c>
    </row>
    <row r="27" spans="1:40">
      <c r="A27" s="1" t="s">
        <v>113</v>
      </c>
      <c r="B27" s="1" t="s">
        <v>5</v>
      </c>
      <c r="G27" t="str">
        <v>VISAKHAPATNAM</v>
      </c>
      <c r="J27" t="str">
        <v>NAGAON</v>
      </c>
      <c r="K27" t="str">
        <v>MADHEPURA</v>
      </c>
      <c r="M27" t="str">
        <v>JANJGIR</v>
      </c>
      <c r="R27" t="str">
        <v>Rajkot</v>
      </c>
      <c r="S27" t="str">
        <v>SONIPAT</v>
      </c>
      <c r="V27" t="str">
        <v>SARAIKELA-KHARSAWAN</v>
      </c>
      <c r="W27" t="str">
        <v>KOLAR</v>
      </c>
      <c r="Z27" t="str">
        <v>INDORE</v>
      </c>
      <c r="AA27" t="str">
        <v>NASIK</v>
      </c>
      <c r="AF27" t="str">
        <v>KORAPUT</v>
      </c>
      <c r="AH27" t="str">
        <v>TARN_TARAN</v>
      </c>
      <c r="AI27" t="str">
        <v>JHALAWAR</v>
      </c>
      <c r="AK27" t="str">
        <v>MADURAI</v>
      </c>
      <c r="AM27" t="str">
        <v>DEORIA</v>
      </c>
    </row>
    <row r="28" spans="1:40">
      <c r="A28" s="1" t="s">
        <v>114</v>
      </c>
      <c r="B28" s="1" t="s">
        <v>5</v>
      </c>
      <c r="G28" t="str">
        <v>VIZIANAGARAM</v>
      </c>
      <c r="J28" t="str">
        <v>NALBARI</v>
      </c>
      <c r="K28" t="str">
        <v>MADHUBANI</v>
      </c>
      <c r="M28" t="str">
        <v>JASHPUR</v>
      </c>
      <c r="R28" t="str">
        <v>Sabarkantha</v>
      </c>
      <c r="S28" t="str">
        <v>YAMUNANAGAR</v>
      </c>
      <c r="V28" t="str">
        <v>SIMDEGA</v>
      </c>
      <c r="W28" t="str">
        <v>KOPPAL</v>
      </c>
      <c r="Z28" t="str">
        <v>JABALPUR</v>
      </c>
      <c r="AA28" t="str">
        <v>OSMANABAD</v>
      </c>
      <c r="AF28" t="str">
        <v>MALKANGIRI</v>
      </c>
      <c r="AI28" t="str">
        <v>JHUNJHUNUN</v>
      </c>
      <c r="AK28" t="str">
        <v>THENI</v>
      </c>
      <c r="AM28" t="str">
        <v>ETAH</v>
      </c>
    </row>
    <row r="29" spans="1:40">
      <c r="A29" s="1" t="s">
        <v>115</v>
      </c>
      <c r="B29" s="1" t="s">
        <v>5</v>
      </c>
      <c r="G29" t="str">
        <v>WARANGAL</v>
      </c>
      <c r="J29" t="str">
        <v>NORTH_CACHAR_HILLS</v>
      </c>
      <c r="K29" t="str">
        <v>MUNGER</v>
      </c>
      <c r="M29" t="str">
        <v>KANKER</v>
      </c>
      <c r="R29" t="str">
        <v>Surat</v>
      </c>
      <c r="V29" t="str">
        <v>WEST SINGHBHUM</v>
      </c>
      <c r="W29" t="str">
        <v>MANDYA</v>
      </c>
      <c r="Z29" t="str">
        <v>JHABUA</v>
      </c>
      <c r="AA29" t="str">
        <v>PARBHANI</v>
      </c>
      <c r="AF29" t="str">
        <v>MAYURBHANJ</v>
      </c>
      <c r="AI29" t="str">
        <v>JODHPUR</v>
      </c>
      <c r="AK29" t="str">
        <v>DINDIGUL</v>
      </c>
      <c r="AM29" t="str">
        <v>ETAWAH</v>
      </c>
    </row>
    <row r="30" spans="1:40">
      <c r="A30" s="1" t="s">
        <v>116</v>
      </c>
      <c r="B30" s="1" t="s">
        <v>5</v>
      </c>
      <c r="G30" t="str">
        <v>WEST_GODAVARI</v>
      </c>
      <c r="J30" t="str">
        <v>SIBSAGAR</v>
      </c>
      <c r="K30" t="str">
        <v>MUZAFFARPUR</v>
      </c>
      <c r="M30" t="str">
        <v>KAWARDHA/Kabir Dham</v>
      </c>
      <c r="R30" t="str">
        <v>Surendranagar</v>
      </c>
      <c r="W30" t="str">
        <v>MYSORE</v>
      </c>
      <c r="Z30" t="str">
        <v>KATNI</v>
      </c>
      <c r="AA30" t="str">
        <v>PUNE</v>
      </c>
      <c r="AF30" t="str">
        <v>NABARANGAPUR</v>
      </c>
      <c r="AI30" t="str">
        <v>KARAULI</v>
      </c>
      <c r="AK30" t="str">
        <v>PALANI</v>
      </c>
      <c r="AM30" t="str">
        <v>FAIZABAD</v>
      </c>
    </row>
    <row r="31" spans="1:40">
      <c r="A31" s="1" t="s">
        <v>117</v>
      </c>
      <c r="B31" s="1" t="s">
        <v>5</v>
      </c>
      <c r="J31" t="str">
        <v>SONITPUR</v>
      </c>
      <c r="K31" t="str">
        <v>NALANDA</v>
      </c>
      <c r="M31" t="str">
        <v>KORBA</v>
      </c>
      <c r="R31" t="str">
        <v>Vadodara</v>
      </c>
      <c r="W31" t="str">
        <v>RAICHUR</v>
      </c>
      <c r="Z31" t="str">
        <v>KHANDWA</v>
      </c>
      <c r="AA31" t="str">
        <v>RAIGAD</v>
      </c>
      <c r="AF31" t="str">
        <v>NAYAGARH</v>
      </c>
      <c r="AI31" t="str">
        <v>KOTA</v>
      </c>
      <c r="AK31" t="str">
        <v>RAMANATHAPURAM</v>
      </c>
      <c r="AM31" t="str">
        <v>FARRUKHABAD</v>
      </c>
    </row>
    <row r="32" spans="1:40">
      <c r="A32" s="1" t="s">
        <v>118</v>
      </c>
      <c r="B32" s="1" t="s">
        <v>5</v>
      </c>
      <c r="J32" t="str">
        <v>TINSUKIA</v>
      </c>
      <c r="K32" t="str">
        <v>NAWADA</v>
      </c>
      <c r="M32" t="str">
        <v>KORIYA</v>
      </c>
      <c r="R32" t="str">
        <v>Valsad</v>
      </c>
      <c r="W32" t="str">
        <v>RAMANAGARA</v>
      </c>
      <c r="Z32" t="str">
        <v>KHARGONE</v>
      </c>
      <c r="AA32" t="str">
        <v>RATNAGIRI</v>
      </c>
      <c r="AF32" t="str">
        <v>NUAPADA</v>
      </c>
      <c r="AI32" t="str">
        <v>NAGAUR</v>
      </c>
      <c r="AK32" t="str">
        <v>PARAMAKUDI</v>
      </c>
      <c r="AM32" t="str">
        <v>FATEHPUR</v>
      </c>
    </row>
    <row r="33" spans="1:39">
      <c r="A33" s="1" t="s">
        <v>119</v>
      </c>
      <c r="B33" s="1" t="s">
        <v>5</v>
      </c>
      <c r="J33" t="str">
        <v>UDALGURI</v>
      </c>
      <c r="K33" t="str">
        <v>PATNA</v>
      </c>
      <c r="M33" t="str">
        <v>MAHASAMUND</v>
      </c>
      <c r="R33" t="str">
        <v>Tapi</v>
      </c>
      <c r="W33" t="str">
        <v>SHIMOGA</v>
      </c>
      <c r="Z33" t="str">
        <v>MANDLA</v>
      </c>
      <c r="AA33" t="str">
        <v>SANGLI</v>
      </c>
      <c r="AF33" t="str">
        <v>PURI</v>
      </c>
      <c r="AI33" t="str">
        <v>PALI</v>
      </c>
      <c r="AK33" t="str">
        <v>SIVAGANGA</v>
      </c>
      <c r="AM33" t="str">
        <v>FIROZABAD</v>
      </c>
    </row>
    <row r="34" spans="1:39">
      <c r="A34" s="1" t="s">
        <v>120</v>
      </c>
      <c r="B34" s="1" t="s">
        <v>5</v>
      </c>
      <c r="J34" t="str">
        <v>KOKRAJHAR</v>
      </c>
      <c r="K34" t="str">
        <v>PURNIA</v>
      </c>
      <c r="M34" t="str">
        <v>RAIGARH-CG</v>
      </c>
      <c r="W34" t="str">
        <v>TUMKUR</v>
      </c>
      <c r="Z34" t="str">
        <v>MANDSAUR</v>
      </c>
      <c r="AA34" t="str">
        <v>SATARA</v>
      </c>
      <c r="AF34" t="str">
        <v>RAYAGADA</v>
      </c>
      <c r="AI34" t="str">
        <v>PRATAPGARH</v>
      </c>
      <c r="AK34" t="str">
        <v>VIRUDHUNAGAR</v>
      </c>
      <c r="AM34" t="str">
        <v>GAUTAM_BUDH_NAGAR</v>
      </c>
    </row>
    <row r="35" spans="1:39">
      <c r="A35" s="1" t="s">
        <v>121</v>
      </c>
      <c r="B35" s="1" t="s">
        <v>5</v>
      </c>
      <c r="J35" t="str">
        <v>LAKHIMPUR</v>
      </c>
      <c r="K35" t="str">
        <v>ROHTAS</v>
      </c>
      <c r="M35" t="str">
        <v>RAIPUR</v>
      </c>
      <c r="W35" t="str">
        <v>UDUPI</v>
      </c>
      <c r="Z35" t="str">
        <v>MORENA</v>
      </c>
      <c r="AA35" t="str">
        <v>SINDHUDURG</v>
      </c>
      <c r="AF35" t="str">
        <v>SAMBALPUR</v>
      </c>
      <c r="AI35" t="str">
        <v>RAJSAMAND</v>
      </c>
      <c r="AK35" t="str">
        <v>SIVAKASI</v>
      </c>
      <c r="AM35" t="str">
        <v>GHAZIABAD</v>
      </c>
    </row>
    <row r="36" spans="1:39">
      <c r="A36" s="1" t="s">
        <v>122</v>
      </c>
      <c r="B36" s="1" t="s">
        <v>5</v>
      </c>
      <c r="J36" t="str">
        <v>MARIGAON</v>
      </c>
      <c r="K36" t="str">
        <v>SAHARSA</v>
      </c>
      <c r="M36" t="str">
        <v>RAJNANDGAON</v>
      </c>
      <c r="W36" t="str">
        <v>UTTARA_KANNADA</v>
      </c>
      <c r="Z36" t="str">
        <v>NARSINGHPUR</v>
      </c>
      <c r="AA36" t="str">
        <v>SOLAPUR</v>
      </c>
      <c r="AF36" t="str">
        <v>SONAPUR / SUBARNAPUR</v>
      </c>
      <c r="AI36" t="str">
        <v>SAWAI_MADHOPUR</v>
      </c>
      <c r="AK36" t="str">
        <v>THIRUNELVELI</v>
      </c>
      <c r="AM36" t="str">
        <v>GHAZIPUR</v>
      </c>
    </row>
    <row r="37" spans="1:39">
      <c r="A37" s="1" t="s">
        <v>123</v>
      </c>
      <c r="B37" s="1" t="s">
        <v>5</v>
      </c>
      <c r="J37" t="str">
        <v>NAGAON</v>
      </c>
      <c r="K37" t="str">
        <v>SAMASTIPUR</v>
      </c>
      <c r="M37" t="str">
        <v>SURGUJA (Ambikapur)</v>
      </c>
      <c r="Z37" t="str">
        <v>NEEMUCH</v>
      </c>
      <c r="AA37" t="str">
        <v>THANE</v>
      </c>
      <c r="AF37" t="str">
        <v>SUNDARGARH</v>
      </c>
      <c r="AI37" t="str">
        <v>SIKAR</v>
      </c>
      <c r="AK37" t="str">
        <v>SANKARANKOIL</v>
      </c>
      <c r="AM37" t="str">
        <v>GONDA</v>
      </c>
    </row>
    <row r="38" spans="1:39">
      <c r="A38" s="1" t="s">
        <v>124</v>
      </c>
      <c r="B38" s="1" t="s">
        <v>5</v>
      </c>
      <c r="J38" t="str">
        <v>NALBARI</v>
      </c>
      <c r="K38" t="str">
        <v>SARAN</v>
      </c>
      <c r="Z38" t="str">
        <v>PANNA</v>
      </c>
      <c r="AA38" t="str">
        <v>WARDHA</v>
      </c>
      <c r="AI38" t="str">
        <v>SIROHI</v>
      </c>
      <c r="AK38" t="str">
        <v>THOOTHUKUDI</v>
      </c>
      <c r="AM38" t="str">
        <v>GORAKHPUR</v>
      </c>
    </row>
    <row r="39" spans="1:39">
      <c r="A39" s="1" t="s">
        <v>125</v>
      </c>
      <c r="B39" s="1" t="s">
        <v>5</v>
      </c>
      <c r="J39" t="str">
        <v>NORTH_CACHAR_HILLS</v>
      </c>
      <c r="K39" t="str">
        <v>SHEIKHPURA</v>
      </c>
      <c r="Z39" t="str">
        <v>RAISEN</v>
      </c>
      <c r="AA39" t="str">
        <v>WASHIM</v>
      </c>
      <c r="AI39" t="str">
        <v>TONK</v>
      </c>
      <c r="AK39" t="str">
        <v>KOVILPATTI</v>
      </c>
      <c r="AM39" t="str">
        <v>HAMIRPUR-UP</v>
      </c>
    </row>
    <row r="40" spans="1:39">
      <c r="A40" s="1" t="s">
        <v>126</v>
      </c>
      <c r="B40" s="1" t="s">
        <v>5</v>
      </c>
      <c r="J40" t="str">
        <v>SIBSAGAR</v>
      </c>
      <c r="K40" t="str">
        <v>SHEOHAR</v>
      </c>
      <c r="Z40" t="str">
        <v>RAJGARH</v>
      </c>
      <c r="AA40" t="str">
        <v>YAWATMAL</v>
      </c>
      <c r="AI40" t="str">
        <v>UDAIPUR</v>
      </c>
      <c r="AK40" t="str">
        <v>NAGERCOIL</v>
      </c>
      <c r="AM40" t="str">
        <v>HARDOI</v>
      </c>
    </row>
    <row r="41" spans="1:39">
      <c r="A41" s="1" t="s">
        <v>127</v>
      </c>
      <c r="B41" s="1" t="s">
        <v>5</v>
      </c>
      <c r="J41" t="str">
        <v>SONITPUR</v>
      </c>
      <c r="K41" t="str">
        <v>SITAMARHI</v>
      </c>
      <c r="Z41" t="str">
        <v>RATLAM</v>
      </c>
      <c r="AK41" t="str">
        <v>SALEM</v>
      </c>
      <c r="AM41" t="str">
        <v>HATHRAS/MAHAMAYANAGAR</v>
      </c>
    </row>
    <row r="42" spans="1:39">
      <c r="A42" s="1" t="s">
        <v>128</v>
      </c>
      <c r="B42" s="1" t="s">
        <v>6</v>
      </c>
      <c r="J42" t="str">
        <v>TINSUKIA</v>
      </c>
      <c r="K42" t="str">
        <v>SIWAN</v>
      </c>
      <c r="Z42" t="str">
        <v>REWA</v>
      </c>
      <c r="AK42" t="str">
        <v>NAMAKKAL</v>
      </c>
      <c r="AM42" t="str">
        <v>JALAUN</v>
      </c>
    </row>
    <row r="43" spans="1:39">
      <c r="A43" s="1" t="s">
        <v>129</v>
      </c>
      <c r="B43" s="1" t="s">
        <v>6</v>
      </c>
      <c r="J43" t="str">
        <v>UDALGURI</v>
      </c>
      <c r="K43" t="str">
        <v>SUPAUL</v>
      </c>
      <c r="Z43" t="str">
        <v>SAGAR</v>
      </c>
      <c r="AK43" t="str">
        <v>DHARMAPURI</v>
      </c>
      <c r="AM43" t="str">
        <v>JAUNPUR</v>
      </c>
    </row>
    <row r="44" spans="1:39">
      <c r="A44" s="1" t="s">
        <v>130</v>
      </c>
      <c r="B44" s="1" t="s">
        <v>6</v>
      </c>
      <c r="K44" t="str">
        <v>VAISHALI</v>
      </c>
      <c r="Z44" t="str">
        <v>SATNA</v>
      </c>
      <c r="AK44" t="str">
        <v>KRISHNAGIRI</v>
      </c>
      <c r="AM44" t="str">
        <v>JHANSI</v>
      </c>
    </row>
    <row r="45" spans="1:39">
      <c r="A45" s="1" t="s">
        <v>131</v>
      </c>
      <c r="B45" s="1" t="s">
        <v>6</v>
      </c>
      <c r="K45" t="str">
        <v>WEST CHAMPARAN</v>
      </c>
      <c r="Z45" t="str">
        <v>SEONI</v>
      </c>
      <c r="AK45" t="str">
        <v>COIMBATORE</v>
      </c>
      <c r="AM45" t="str">
        <v>JYOTIBA_PHULE_NAGAR</v>
      </c>
    </row>
    <row r="46" spans="1:39">
      <c r="A46" s="1" t="s">
        <v>132</v>
      </c>
      <c r="B46" s="1" t="s">
        <v>6</v>
      </c>
      <c r="K46" t="str">
        <v>ARARIA</v>
      </c>
      <c r="Z46" t="str">
        <v>SHAHDOL</v>
      </c>
      <c r="AK46" t="str">
        <v>THIRUPPUR</v>
      </c>
      <c r="AM46" t="str">
        <v>KANNAUJ</v>
      </c>
    </row>
    <row r="47" spans="1:39">
      <c r="A47" s="1" t="s">
        <v>133</v>
      </c>
      <c r="B47" s="1" t="s">
        <v>6</v>
      </c>
      <c r="K47" t="str">
        <v>ARWAL</v>
      </c>
      <c r="Z47" t="str">
        <v>SHAJAPUR</v>
      </c>
      <c r="AK47" t="str">
        <v>ERODE</v>
      </c>
      <c r="AM47" t="str">
        <v>KANPUR NAGAR</v>
      </c>
    </row>
    <row r="48" spans="1:39">
      <c r="A48" s="1" t="s">
        <v>134</v>
      </c>
      <c r="B48" s="1" t="s">
        <v>6</v>
      </c>
      <c r="K48" t="str">
        <v>AURANGABAD-BI</v>
      </c>
      <c r="Z48" t="str">
        <v>SHEOPUR</v>
      </c>
      <c r="AK48" t="str">
        <v>DHARAPURAM</v>
      </c>
      <c r="AM48" t="str">
        <v>KANPUR_DEHAT</v>
      </c>
    </row>
    <row r="49" spans="1:39">
      <c r="A49" s="1" t="s">
        <v>135</v>
      </c>
      <c r="B49" s="1" t="s">
        <v>6</v>
      </c>
      <c r="K49" t="str">
        <v>BANKA</v>
      </c>
      <c r="Z49" t="str">
        <v>SHIVPURI</v>
      </c>
      <c r="AK49" t="str">
        <v>THE NILGIRIS</v>
      </c>
      <c r="AM49" t="str">
        <v>KAUSHAMBI</v>
      </c>
    </row>
    <row r="50" spans="1:39">
      <c r="A50" s="1" t="s">
        <v>136</v>
      </c>
      <c r="B50" s="1" t="s">
        <v>6</v>
      </c>
      <c r="K50" t="str">
        <v>BEGUSARAI</v>
      </c>
      <c r="Z50" t="str">
        <v>SIDHI</v>
      </c>
      <c r="AK50" t="str">
        <v>CHENNAI CORP</v>
      </c>
      <c r="AM50" t="str">
        <v>KHERI</v>
      </c>
    </row>
    <row r="51" spans="1:39">
      <c r="A51" s="1" t="s">
        <v>137</v>
      </c>
      <c r="B51" s="1" t="s">
        <v>6</v>
      </c>
      <c r="K51" t="str">
        <v>BHAGALPUR</v>
      </c>
      <c r="Z51" t="str">
        <v>TIKAMGARH</v>
      </c>
      <c r="AM51" t="str">
        <v>KUSHINAGAR</v>
      </c>
    </row>
    <row r="52" spans="1:39">
      <c r="A52" s="1" t="s">
        <v>138</v>
      </c>
      <c r="B52" s="1" t="s">
        <v>6</v>
      </c>
      <c r="K52" t="str">
        <v>BHOJPUR</v>
      </c>
      <c r="Z52" t="str">
        <v>UJJAIN</v>
      </c>
      <c r="AM52" t="str">
        <v>LALITPUR</v>
      </c>
    </row>
    <row r="53" spans="1:39">
      <c r="A53" s="1" t="s">
        <v>139</v>
      </c>
      <c r="B53" s="1" t="s">
        <v>6</v>
      </c>
      <c r="K53" t="str">
        <v>BUXAR</v>
      </c>
      <c r="Z53" t="str">
        <v>UMARIA</v>
      </c>
      <c r="AM53" t="str">
        <v>LUCKNOW</v>
      </c>
    </row>
    <row r="54" spans="1:39">
      <c r="A54" s="1" t="s">
        <v>140</v>
      </c>
      <c r="B54" s="1" t="s">
        <v>6</v>
      </c>
      <c r="K54" t="str">
        <v>DARBHANGA</v>
      </c>
      <c r="Z54" t="str">
        <v>VIDISHA</v>
      </c>
      <c r="AM54" t="str">
        <v>MAHARAJGANJ</v>
      </c>
    </row>
    <row r="55" spans="1:39">
      <c r="A55" s="1" t="s">
        <v>141</v>
      </c>
      <c r="B55" s="1" t="s">
        <v>6</v>
      </c>
      <c r="K55" t="str">
        <v>EAST CHAMPARAN</v>
      </c>
      <c r="AM55" t="str">
        <v>MAHOBA</v>
      </c>
    </row>
    <row r="56" spans="1:39">
      <c r="A56" s="1" t="s">
        <v>142</v>
      </c>
      <c r="B56" s="1" t="s">
        <v>6</v>
      </c>
      <c r="K56" t="str">
        <v>GAYA</v>
      </c>
      <c r="AM56" t="str">
        <v>MAINPURI</v>
      </c>
    </row>
    <row r="57" spans="1:39">
      <c r="A57" s="1" t="s">
        <v>143</v>
      </c>
      <c r="B57" s="1" t="s">
        <v>6</v>
      </c>
      <c r="K57" t="str">
        <v>GOPALGANJ</v>
      </c>
      <c r="AM57" t="str">
        <v>MATHURA</v>
      </c>
    </row>
    <row r="58" spans="1:39">
      <c r="A58" s="1" t="s">
        <v>24</v>
      </c>
      <c r="B58" s="1" t="s">
        <v>6</v>
      </c>
      <c r="K58" t="str">
        <v>JAMUI</v>
      </c>
      <c r="AM58" t="str">
        <v>MAU</v>
      </c>
    </row>
    <row r="59" spans="1:39">
      <c r="A59" s="1" t="s">
        <v>25</v>
      </c>
      <c r="B59" s="1" t="s">
        <v>6</v>
      </c>
      <c r="K59" t="str">
        <v>JEHANABAD</v>
      </c>
      <c r="AM59" t="str">
        <v>MEERUT</v>
      </c>
    </row>
    <row r="60" spans="1:39">
      <c r="A60" s="1" t="s">
        <v>26</v>
      </c>
      <c r="B60" s="1" t="s">
        <v>6</v>
      </c>
      <c r="K60" t="str">
        <v>KAIMUR</v>
      </c>
      <c r="AM60" t="str">
        <v>MIRZAPUR</v>
      </c>
    </row>
    <row r="61" spans="1:39">
      <c r="A61" s="1" t="s">
        <v>27</v>
      </c>
      <c r="B61" s="1" t="s">
        <v>6</v>
      </c>
      <c r="K61" t="str">
        <v>KATIHAR</v>
      </c>
      <c r="AM61" t="str">
        <v>MORADABAD</v>
      </c>
    </row>
    <row r="62" spans="1:39">
      <c r="A62" s="1" t="s">
        <v>28</v>
      </c>
      <c r="B62" s="1" t="s">
        <v>6</v>
      </c>
      <c r="K62" t="str">
        <v>KHAGARIA</v>
      </c>
      <c r="AM62" t="str">
        <v>MUZAFFARNAGAR</v>
      </c>
    </row>
    <row r="63" spans="1:39">
      <c r="A63" s="1" t="s">
        <v>29</v>
      </c>
      <c r="B63" s="1" t="s">
        <v>6</v>
      </c>
      <c r="K63" t="str">
        <v>KISHANGANJ</v>
      </c>
      <c r="AM63" t="str">
        <v>PILIBHIT</v>
      </c>
    </row>
    <row r="64" spans="1:39">
      <c r="A64" s="1" t="s">
        <v>30</v>
      </c>
      <c r="B64" s="1" t="s">
        <v>6</v>
      </c>
      <c r="K64" t="str">
        <v>LAKHISARAI</v>
      </c>
      <c r="AM64" t="str">
        <v>PRATAPGARH</v>
      </c>
    </row>
    <row r="65" spans="1:39">
      <c r="A65" s="1" t="s">
        <v>31</v>
      </c>
      <c r="B65" s="1" t="s">
        <v>6</v>
      </c>
      <c r="K65" t="str">
        <v>MADHEPURA</v>
      </c>
      <c r="AM65" t="str">
        <v>RAEBARELI</v>
      </c>
    </row>
    <row r="66" spans="1:39">
      <c r="A66" s="1" t="s">
        <v>32</v>
      </c>
      <c r="B66" s="1" t="s">
        <v>6</v>
      </c>
      <c r="K66" t="str">
        <v>MADHUBANI</v>
      </c>
      <c r="AM66" t="str">
        <v>RAMPUR</v>
      </c>
    </row>
    <row r="67" spans="1:39">
      <c r="A67" s="1" t="s">
        <v>33</v>
      </c>
      <c r="B67" s="1" t="s">
        <v>6</v>
      </c>
      <c r="K67" t="str">
        <v>MUNGER</v>
      </c>
      <c r="AM67" t="str">
        <v>SAHARANPUR</v>
      </c>
    </row>
    <row r="68" spans="1:39">
      <c r="A68" s="1" t="s">
        <v>34</v>
      </c>
      <c r="B68" s="1" t="s">
        <v>7</v>
      </c>
      <c r="K68" t="str">
        <v>MUZAFFARPUR</v>
      </c>
      <c r="AM68" t="str">
        <v>SANT_KABIR_NAGAR</v>
      </c>
    </row>
    <row r="69" spans="1:39">
      <c r="A69" s="1" t="s">
        <v>35</v>
      </c>
      <c r="B69" s="1" t="s">
        <v>7</v>
      </c>
      <c r="K69" t="str">
        <v>NALANDA</v>
      </c>
      <c r="AM69" t="str">
        <v>SANT_RAVIDAS_NAGAR</v>
      </c>
    </row>
    <row r="70" spans="1:39">
      <c r="A70" s="1" t="s">
        <v>36</v>
      </c>
      <c r="B70" s="1" t="s">
        <v>7</v>
      </c>
      <c r="K70" t="str">
        <v>NAWADA</v>
      </c>
      <c r="AM70" t="str">
        <v>SHAHJAHANPUR</v>
      </c>
    </row>
    <row r="71" spans="1:39">
      <c r="A71" s="1" t="s">
        <v>37</v>
      </c>
      <c r="B71" s="1" t="s">
        <v>7</v>
      </c>
      <c r="K71" t="str">
        <v>PATNA</v>
      </c>
      <c r="AM71" t="str">
        <v>SHRAVASTI</v>
      </c>
    </row>
    <row r="72" spans="1:39">
      <c r="A72" s="1" t="s">
        <v>38</v>
      </c>
      <c r="B72" s="1" t="s">
        <v>7</v>
      </c>
      <c r="K72" t="str">
        <v>PURNIA</v>
      </c>
      <c r="AM72" t="str">
        <v>SIDDHARTHNAGAR</v>
      </c>
    </row>
    <row r="73" spans="1:39">
      <c r="A73" s="1" t="s">
        <v>39</v>
      </c>
      <c r="B73" s="1" t="s">
        <v>7</v>
      </c>
      <c r="K73" t="str">
        <v>ROHTAS</v>
      </c>
      <c r="AM73" t="str">
        <v>SITAPUR</v>
      </c>
    </row>
    <row r="74" spans="1:39">
      <c r="A74" s="1" t="s">
        <v>40</v>
      </c>
      <c r="B74" s="1" t="s">
        <v>7</v>
      </c>
      <c r="K74" t="str">
        <v>SAHARSA</v>
      </c>
      <c r="AM74" t="str">
        <v>SONBHADRA</v>
      </c>
    </row>
    <row r="75" spans="1:39">
      <c r="A75" s="1" t="s">
        <v>41</v>
      </c>
      <c r="B75" s="1" t="s">
        <v>7</v>
      </c>
      <c r="K75" t="str">
        <v>SAMASTIPUR</v>
      </c>
      <c r="AM75" t="str">
        <v>SULTANPUR</v>
      </c>
    </row>
    <row r="76" spans="1:39">
      <c r="A76" s="1" t="s">
        <v>42</v>
      </c>
      <c r="B76" s="1" t="s">
        <v>7</v>
      </c>
      <c r="K76" t="str">
        <v>SARAN</v>
      </c>
      <c r="AM76" t="str">
        <v>UNNAO</v>
      </c>
    </row>
    <row r="77" spans="1:39">
      <c r="A77" s="1" t="s">
        <v>43</v>
      </c>
      <c r="B77" s="1" t="s">
        <v>7</v>
      </c>
      <c r="K77" t="str">
        <v>SHEIKHPURA</v>
      </c>
      <c r="AM77" t="str">
        <v>VARANASI</v>
      </c>
    </row>
    <row r="78" spans="1:39">
      <c r="A78" s="1" t="s">
        <v>44</v>
      </c>
      <c r="B78" s="1" t="s">
        <v>7</v>
      </c>
      <c r="K78" t="str">
        <v>SHEOHAR</v>
      </c>
    </row>
    <row r="79" spans="1:39">
      <c r="A79" s="1" t="s">
        <v>45</v>
      </c>
      <c r="B79" s="1" t="s">
        <v>7</v>
      </c>
      <c r="K79" t="str">
        <v>SITAMARHI</v>
      </c>
    </row>
    <row r="80" spans="1:39">
      <c r="A80" s="1" t="s">
        <v>46</v>
      </c>
      <c r="B80" s="1" t="s">
        <v>7</v>
      </c>
      <c r="K80" t="str">
        <v>SIWAN</v>
      </c>
    </row>
    <row r="81" spans="1:11">
      <c r="A81" s="1" t="s">
        <v>47</v>
      </c>
      <c r="B81" s="1" t="s">
        <v>7</v>
      </c>
      <c r="K81" t="str">
        <v>SUPAUL</v>
      </c>
    </row>
    <row r="82" spans="1:11">
      <c r="A82" s="1" t="s">
        <v>48</v>
      </c>
      <c r="B82" s="1" t="s">
        <v>7</v>
      </c>
      <c r="K82" t="str">
        <v>VAISHALI</v>
      </c>
    </row>
    <row r="83" spans="1:11">
      <c r="A83" s="1" t="s">
        <v>49</v>
      </c>
      <c r="B83" s="1" t="s">
        <v>7</v>
      </c>
      <c r="K83" t="str">
        <v>WEST CHAMPARAN</v>
      </c>
    </row>
    <row r="84" spans="1:11">
      <c r="A84" s="1" t="s">
        <v>50</v>
      </c>
      <c r="B84" s="1" t="s">
        <v>7</v>
      </c>
    </row>
    <row r="85" spans="1:11">
      <c r="A85" s="1" t="s">
        <v>51</v>
      </c>
      <c r="B85" s="1" t="s">
        <v>7</v>
      </c>
    </row>
    <row r="86" spans="1:11">
      <c r="A86" s="1" t="s">
        <v>52</v>
      </c>
      <c r="B86" s="1" t="s">
        <v>7</v>
      </c>
    </row>
    <row r="87" spans="1:11">
      <c r="A87" s="1" t="s">
        <v>53</v>
      </c>
      <c r="B87" s="1" t="s">
        <v>7</v>
      </c>
    </row>
    <row r="88" spans="1:11">
      <c r="A88" s="1" t="s">
        <v>54</v>
      </c>
      <c r="B88" s="1" t="s">
        <v>7</v>
      </c>
    </row>
    <row r="89" spans="1:11">
      <c r="A89" s="1" t="s">
        <v>55</v>
      </c>
      <c r="B89" s="1" t="s">
        <v>7</v>
      </c>
    </row>
    <row r="90" spans="1:11">
      <c r="A90" s="1" t="s">
        <v>56</v>
      </c>
      <c r="B90" s="1" t="s">
        <v>7</v>
      </c>
    </row>
    <row r="91" spans="1:11">
      <c r="A91" s="1" t="s">
        <v>57</v>
      </c>
      <c r="B91" s="1" t="s">
        <v>7</v>
      </c>
    </row>
    <row r="92" spans="1:11">
      <c r="A92" s="1" t="s">
        <v>58</v>
      </c>
      <c r="B92" s="1" t="s">
        <v>7</v>
      </c>
    </row>
    <row r="93" spans="1:11">
      <c r="A93" s="1" t="s">
        <v>59</v>
      </c>
      <c r="B93" s="1" t="s">
        <v>7</v>
      </c>
    </row>
    <row r="94" spans="1:11">
      <c r="A94" s="1" t="s">
        <v>60</v>
      </c>
      <c r="B94" s="1" t="s">
        <v>7</v>
      </c>
    </row>
    <row r="95" spans="1:11">
      <c r="A95" s="1" t="s">
        <v>61</v>
      </c>
      <c r="B95" s="1" t="s">
        <v>7</v>
      </c>
    </row>
    <row r="96" spans="1:11">
      <c r="A96" s="1" t="s">
        <v>62</v>
      </c>
      <c r="B96" s="1" t="s">
        <v>7</v>
      </c>
    </row>
    <row r="97" spans="1:2">
      <c r="A97" s="1" t="s">
        <v>63</v>
      </c>
      <c r="B97" s="1" t="s">
        <v>7</v>
      </c>
    </row>
    <row r="98" spans="1:2">
      <c r="A98" s="1" t="s">
        <v>64</v>
      </c>
      <c r="B98" s="1" t="s">
        <v>7</v>
      </c>
    </row>
    <row r="99" spans="1:2">
      <c r="A99" s="1" t="s">
        <v>65</v>
      </c>
      <c r="B99" s="1" t="s">
        <v>7</v>
      </c>
    </row>
    <row r="100" spans="1:2">
      <c r="A100" s="1" t="s">
        <v>66</v>
      </c>
      <c r="B100" s="1" t="s">
        <v>7</v>
      </c>
    </row>
    <row r="101" spans="1:2">
      <c r="A101" s="1" t="s">
        <v>67</v>
      </c>
      <c r="B101" s="1" t="s">
        <v>7</v>
      </c>
    </row>
    <row r="102" spans="1:2">
      <c r="A102" s="1" t="s">
        <v>68</v>
      </c>
      <c r="B102" s="1" t="s">
        <v>7</v>
      </c>
    </row>
    <row r="103" spans="1:2">
      <c r="A103" s="1" t="s">
        <v>69</v>
      </c>
      <c r="B103" s="1" t="s">
        <v>7</v>
      </c>
    </row>
    <row r="104" spans="1:2">
      <c r="A104" s="1" t="s">
        <v>70</v>
      </c>
      <c r="B104" s="1" t="s">
        <v>7</v>
      </c>
    </row>
    <row r="105" spans="1:2">
      <c r="A105" s="1" t="s">
        <v>71</v>
      </c>
      <c r="B105" s="1" t="s">
        <v>7</v>
      </c>
    </row>
    <row r="106" spans="1:2">
      <c r="A106" s="1" t="s">
        <v>72</v>
      </c>
      <c r="B106" s="1" t="s">
        <v>73</v>
      </c>
    </row>
    <row r="107" spans="1:2">
      <c r="A107" s="1" t="s">
        <v>74</v>
      </c>
      <c r="B107" s="1" t="s">
        <v>73</v>
      </c>
    </row>
    <row r="108" spans="1:2">
      <c r="A108" s="1" t="s">
        <v>75</v>
      </c>
      <c r="B108" s="1" t="s">
        <v>73</v>
      </c>
    </row>
    <row r="109" spans="1:2">
      <c r="A109" s="1" t="s">
        <v>76</v>
      </c>
      <c r="B109" s="1" t="s">
        <v>73</v>
      </c>
    </row>
    <row r="110" spans="1:2">
      <c r="A110" s="1" t="s">
        <v>77</v>
      </c>
      <c r="B110" s="1" t="s">
        <v>73</v>
      </c>
    </row>
    <row r="111" spans="1:2">
      <c r="A111" s="1" t="s">
        <v>78</v>
      </c>
      <c r="B111" s="1" t="s">
        <v>73</v>
      </c>
    </row>
    <row r="112" spans="1:2">
      <c r="A112" s="1" t="s">
        <v>79</v>
      </c>
      <c r="B112" s="1" t="s">
        <v>73</v>
      </c>
    </row>
    <row r="113" spans="1:2">
      <c r="A113" s="1" t="s">
        <v>80</v>
      </c>
      <c r="B113" s="1" t="s">
        <v>73</v>
      </c>
    </row>
    <row r="114" spans="1:2">
      <c r="A114" s="1" t="s">
        <v>81</v>
      </c>
      <c r="B114" s="1" t="s">
        <v>73</v>
      </c>
    </row>
    <row r="115" spans="1:2">
      <c r="A115" s="1" t="s">
        <v>82</v>
      </c>
      <c r="B115" s="1" t="s">
        <v>73</v>
      </c>
    </row>
    <row r="116" spans="1:2">
      <c r="A116" s="1" t="s">
        <v>83</v>
      </c>
      <c r="B116" s="1" t="s">
        <v>73</v>
      </c>
    </row>
    <row r="117" spans="1:2">
      <c r="A117" s="1" t="s">
        <v>84</v>
      </c>
      <c r="B117" s="1" t="s">
        <v>73</v>
      </c>
    </row>
    <row r="118" spans="1:2">
      <c r="A118" s="1" t="s">
        <v>85</v>
      </c>
      <c r="B118" s="1" t="s">
        <v>73</v>
      </c>
    </row>
    <row r="119" spans="1:2">
      <c r="A119" s="1" t="s">
        <v>86</v>
      </c>
      <c r="B119" s="1" t="s">
        <v>73</v>
      </c>
    </row>
    <row r="120" spans="1:2">
      <c r="A120" s="1" t="s">
        <v>24</v>
      </c>
      <c r="B120" s="1" t="s">
        <v>6</v>
      </c>
    </row>
    <row r="121" spans="1:2">
      <c r="A121" s="1" t="s">
        <v>25</v>
      </c>
      <c r="B121" s="1" t="s">
        <v>6</v>
      </c>
    </row>
    <row r="122" spans="1:2">
      <c r="A122" s="1" t="s">
        <v>26</v>
      </c>
      <c r="B122" s="1" t="s">
        <v>6</v>
      </c>
    </row>
    <row r="123" spans="1:2">
      <c r="A123" s="1" t="s">
        <v>27</v>
      </c>
      <c r="B123" s="1" t="s">
        <v>6</v>
      </c>
    </row>
    <row r="124" spans="1:2">
      <c r="A124" s="1" t="s">
        <v>28</v>
      </c>
      <c r="B124" s="1" t="s">
        <v>6</v>
      </c>
    </row>
    <row r="125" spans="1:2">
      <c r="A125" s="1" t="s">
        <v>29</v>
      </c>
      <c r="B125" s="1" t="s">
        <v>6</v>
      </c>
    </row>
    <row r="126" spans="1:2">
      <c r="A126" s="1" t="s">
        <v>30</v>
      </c>
      <c r="B126" s="1" t="s">
        <v>6</v>
      </c>
    </row>
    <row r="127" spans="1:2">
      <c r="A127" s="1" t="s">
        <v>31</v>
      </c>
      <c r="B127" s="1" t="s">
        <v>6</v>
      </c>
    </row>
    <row r="128" spans="1:2">
      <c r="A128" s="1" t="s">
        <v>32</v>
      </c>
      <c r="B128" s="1" t="s">
        <v>6</v>
      </c>
    </row>
    <row r="129" spans="1:2">
      <c r="A129" s="1" t="s">
        <v>33</v>
      </c>
      <c r="B129" s="1" t="s">
        <v>6</v>
      </c>
    </row>
    <row r="130" spans="1:2">
      <c r="A130" s="1" t="s">
        <v>34</v>
      </c>
      <c r="B130" s="1" t="s">
        <v>7</v>
      </c>
    </row>
    <row r="131" spans="1:2">
      <c r="A131" s="1" t="s">
        <v>35</v>
      </c>
      <c r="B131" s="1" t="s">
        <v>7</v>
      </c>
    </row>
    <row r="132" spans="1:2">
      <c r="A132" s="1" t="s">
        <v>36</v>
      </c>
      <c r="B132" s="1" t="s">
        <v>7</v>
      </c>
    </row>
    <row r="133" spans="1:2">
      <c r="A133" s="1" t="s">
        <v>37</v>
      </c>
      <c r="B133" s="1" t="s">
        <v>7</v>
      </c>
    </row>
    <row r="134" spans="1:2">
      <c r="A134" s="1" t="s">
        <v>38</v>
      </c>
      <c r="B134" s="1" t="s">
        <v>7</v>
      </c>
    </row>
    <row r="135" spans="1:2">
      <c r="A135" s="1" t="s">
        <v>39</v>
      </c>
      <c r="B135" s="1" t="s">
        <v>7</v>
      </c>
    </row>
    <row r="136" spans="1:2">
      <c r="A136" s="1" t="s">
        <v>40</v>
      </c>
      <c r="B136" s="1" t="s">
        <v>7</v>
      </c>
    </row>
    <row r="137" spans="1:2">
      <c r="A137" s="1" t="s">
        <v>41</v>
      </c>
      <c r="B137" s="1" t="s">
        <v>7</v>
      </c>
    </row>
    <row r="138" spans="1:2">
      <c r="A138" s="1" t="s">
        <v>42</v>
      </c>
      <c r="B138" s="1" t="s">
        <v>7</v>
      </c>
    </row>
    <row r="139" spans="1:2">
      <c r="A139" s="1" t="s">
        <v>43</v>
      </c>
      <c r="B139" s="1" t="s">
        <v>7</v>
      </c>
    </row>
    <row r="140" spans="1:2">
      <c r="A140" s="1" t="s">
        <v>44</v>
      </c>
      <c r="B140" s="1" t="s">
        <v>7</v>
      </c>
    </row>
    <row r="141" spans="1:2">
      <c r="A141" s="1" t="s">
        <v>45</v>
      </c>
      <c r="B141" s="1" t="s">
        <v>7</v>
      </c>
    </row>
    <row r="142" spans="1:2">
      <c r="A142" s="1" t="s">
        <v>46</v>
      </c>
      <c r="B142" s="1" t="s">
        <v>7</v>
      </c>
    </row>
    <row r="143" spans="1:2">
      <c r="A143" s="1" t="s">
        <v>47</v>
      </c>
      <c r="B143" s="1" t="s">
        <v>7</v>
      </c>
    </row>
    <row r="144" spans="1:2">
      <c r="A144" s="1" t="s">
        <v>48</v>
      </c>
      <c r="B144" s="1" t="s">
        <v>7</v>
      </c>
    </row>
    <row r="145" spans="1:2">
      <c r="A145" s="1" t="s">
        <v>49</v>
      </c>
      <c r="B145" s="1" t="s">
        <v>7</v>
      </c>
    </row>
    <row r="146" spans="1:2">
      <c r="A146" s="1" t="s">
        <v>50</v>
      </c>
      <c r="B146" s="1" t="s">
        <v>7</v>
      </c>
    </row>
    <row r="147" spans="1:2">
      <c r="A147" s="1" t="s">
        <v>51</v>
      </c>
      <c r="B147" s="1" t="s">
        <v>7</v>
      </c>
    </row>
    <row r="148" spans="1:2">
      <c r="A148" s="1" t="s">
        <v>52</v>
      </c>
      <c r="B148" s="1" t="s">
        <v>7</v>
      </c>
    </row>
    <row r="149" spans="1:2">
      <c r="A149" s="1" t="s">
        <v>53</v>
      </c>
      <c r="B149" s="1" t="s">
        <v>7</v>
      </c>
    </row>
    <row r="150" spans="1:2">
      <c r="A150" s="1" t="s">
        <v>54</v>
      </c>
      <c r="B150" s="1" t="s">
        <v>7</v>
      </c>
    </row>
    <row r="151" spans="1:2">
      <c r="A151" s="1" t="s">
        <v>55</v>
      </c>
      <c r="B151" s="1" t="s">
        <v>7</v>
      </c>
    </row>
    <row r="152" spans="1:2">
      <c r="A152" s="1" t="s">
        <v>56</v>
      </c>
      <c r="B152" s="1" t="s">
        <v>7</v>
      </c>
    </row>
    <row r="153" spans="1:2">
      <c r="A153" s="1" t="s">
        <v>57</v>
      </c>
      <c r="B153" s="1" t="s">
        <v>7</v>
      </c>
    </row>
    <row r="154" spans="1:2">
      <c r="A154" s="1" t="s">
        <v>58</v>
      </c>
      <c r="B154" s="1" t="s">
        <v>7</v>
      </c>
    </row>
    <row r="155" spans="1:2">
      <c r="A155" s="1" t="s">
        <v>59</v>
      </c>
      <c r="B155" s="1" t="s">
        <v>7</v>
      </c>
    </row>
    <row r="156" spans="1:2">
      <c r="A156" s="1" t="s">
        <v>60</v>
      </c>
      <c r="B156" s="1" t="s">
        <v>7</v>
      </c>
    </row>
    <row r="157" spans="1:2">
      <c r="A157" s="1" t="s">
        <v>61</v>
      </c>
      <c r="B157" s="1" t="s">
        <v>7</v>
      </c>
    </row>
    <row r="158" spans="1:2">
      <c r="A158" s="1" t="s">
        <v>62</v>
      </c>
      <c r="B158" s="1" t="s">
        <v>7</v>
      </c>
    </row>
    <row r="159" spans="1:2">
      <c r="A159" s="1" t="s">
        <v>63</v>
      </c>
      <c r="B159" s="1" t="s">
        <v>7</v>
      </c>
    </row>
    <row r="160" spans="1:2">
      <c r="A160" s="1" t="s">
        <v>64</v>
      </c>
      <c r="B160" s="1" t="s">
        <v>7</v>
      </c>
    </row>
    <row r="161" spans="1:2">
      <c r="A161" s="1" t="s">
        <v>65</v>
      </c>
      <c r="B161" s="1" t="s">
        <v>7</v>
      </c>
    </row>
    <row r="162" spans="1:2">
      <c r="A162" s="1" t="s">
        <v>66</v>
      </c>
      <c r="B162" s="1" t="s">
        <v>7</v>
      </c>
    </row>
    <row r="163" spans="1:2">
      <c r="A163" s="1" t="s">
        <v>67</v>
      </c>
      <c r="B163" s="1" t="s">
        <v>7</v>
      </c>
    </row>
    <row r="164" spans="1:2">
      <c r="A164" s="1" t="s">
        <v>68</v>
      </c>
      <c r="B164" s="1" t="s">
        <v>7</v>
      </c>
    </row>
    <row r="165" spans="1:2">
      <c r="A165" s="1" t="s">
        <v>69</v>
      </c>
      <c r="B165" s="1" t="s">
        <v>7</v>
      </c>
    </row>
    <row r="166" spans="1:2">
      <c r="A166" s="1" t="s">
        <v>70</v>
      </c>
      <c r="B166" s="1" t="s">
        <v>7</v>
      </c>
    </row>
    <row r="167" spans="1:2">
      <c r="A167" s="1" t="s">
        <v>71</v>
      </c>
      <c r="B167" s="1" t="s">
        <v>7</v>
      </c>
    </row>
    <row r="168" spans="1:2">
      <c r="A168" s="1" t="s">
        <v>72</v>
      </c>
      <c r="B168" s="1" t="s">
        <v>73</v>
      </c>
    </row>
    <row r="169" spans="1:2">
      <c r="A169" s="1" t="s">
        <v>74</v>
      </c>
      <c r="B169" s="1" t="s">
        <v>73</v>
      </c>
    </row>
    <row r="170" spans="1:2">
      <c r="A170" s="1" t="s">
        <v>75</v>
      </c>
      <c r="B170" s="1" t="s">
        <v>73</v>
      </c>
    </row>
    <row r="171" spans="1:2">
      <c r="A171" s="1" t="s">
        <v>76</v>
      </c>
      <c r="B171" s="1" t="s">
        <v>73</v>
      </c>
    </row>
    <row r="172" spans="1:2">
      <c r="A172" s="1" t="s">
        <v>77</v>
      </c>
      <c r="B172" s="1" t="s">
        <v>73</v>
      </c>
    </row>
    <row r="173" spans="1:2">
      <c r="A173" s="1" t="s">
        <v>78</v>
      </c>
      <c r="B173" s="1" t="s">
        <v>73</v>
      </c>
    </row>
    <row r="174" spans="1:2">
      <c r="A174" s="1" t="s">
        <v>79</v>
      </c>
      <c r="B174" s="1" t="s">
        <v>73</v>
      </c>
    </row>
    <row r="175" spans="1:2">
      <c r="A175" s="1" t="s">
        <v>80</v>
      </c>
      <c r="B175" s="1" t="s">
        <v>73</v>
      </c>
    </row>
    <row r="176" spans="1:2">
      <c r="A176" s="1" t="s">
        <v>81</v>
      </c>
      <c r="B176" s="1" t="s">
        <v>73</v>
      </c>
    </row>
    <row r="177" spans="1:2">
      <c r="A177" s="1" t="s">
        <v>82</v>
      </c>
      <c r="B177" s="1" t="s">
        <v>73</v>
      </c>
    </row>
    <row r="178" spans="1:2">
      <c r="A178" s="1" t="s">
        <v>83</v>
      </c>
      <c r="B178" s="1" t="s">
        <v>73</v>
      </c>
    </row>
    <row r="179" spans="1:2">
      <c r="A179" s="1" t="s">
        <v>84</v>
      </c>
      <c r="B179" s="1" t="s">
        <v>73</v>
      </c>
    </row>
    <row r="180" spans="1:2">
      <c r="A180" s="1" t="s">
        <v>85</v>
      </c>
      <c r="B180" s="1" t="s">
        <v>73</v>
      </c>
    </row>
    <row r="181" spans="1:2">
      <c r="A181" s="1" t="s">
        <v>86</v>
      </c>
      <c r="B181" s="1" t="s">
        <v>73</v>
      </c>
    </row>
    <row r="182" spans="1:2">
      <c r="A182" s="1" t="s">
        <v>397</v>
      </c>
      <c r="B182" s="1" t="s">
        <v>73</v>
      </c>
    </row>
    <row r="183" spans="1:2">
      <c r="A183" s="1" t="s">
        <v>398</v>
      </c>
      <c r="B183" s="1" t="s">
        <v>73</v>
      </c>
    </row>
    <row r="184" spans="1:2">
      <c r="A184" s="1" t="s">
        <v>399</v>
      </c>
      <c r="B184" s="1" t="s">
        <v>400</v>
      </c>
    </row>
    <row r="185" spans="1:2">
      <c r="A185" s="1" t="s">
        <v>401</v>
      </c>
      <c r="B185" s="1" t="s">
        <v>402</v>
      </c>
    </row>
    <row r="186" spans="1:2">
      <c r="A186" s="1" t="s">
        <v>403</v>
      </c>
      <c r="B186" s="1" t="s">
        <v>402</v>
      </c>
    </row>
    <row r="187" spans="1:2">
      <c r="A187" s="1" t="s">
        <v>404</v>
      </c>
      <c r="B187" s="1" t="s">
        <v>23</v>
      </c>
    </row>
    <row r="188" spans="1:2">
      <c r="A188" s="1" t="s">
        <v>405</v>
      </c>
      <c r="B188" s="1" t="s">
        <v>23</v>
      </c>
    </row>
    <row r="189" spans="1:2">
      <c r="A189" s="1" t="s">
        <v>406</v>
      </c>
      <c r="B189" s="1" t="s">
        <v>23</v>
      </c>
    </row>
    <row r="190" spans="1:2">
      <c r="A190" s="1" t="s">
        <v>407</v>
      </c>
      <c r="B190" s="1" t="s">
        <v>23</v>
      </c>
    </row>
    <row r="191" spans="1:2">
      <c r="A191" s="1" t="s">
        <v>408</v>
      </c>
      <c r="B191" s="1" t="s">
        <v>23</v>
      </c>
    </row>
    <row r="192" spans="1:2">
      <c r="A192" s="1" t="s">
        <v>409</v>
      </c>
      <c r="B192" s="1" t="s">
        <v>23</v>
      </c>
    </row>
    <row r="193" spans="1:2">
      <c r="A193" s="1" t="s">
        <v>410</v>
      </c>
      <c r="B193" s="1" t="s">
        <v>23</v>
      </c>
    </row>
    <row r="194" spans="1:2">
      <c r="A194" s="1" t="s">
        <v>411</v>
      </c>
      <c r="B194" s="1" t="s">
        <v>23</v>
      </c>
    </row>
    <row r="195" spans="1:2">
      <c r="A195" s="1" t="s">
        <v>412</v>
      </c>
      <c r="B195" s="1" t="s">
        <v>23</v>
      </c>
    </row>
    <row r="196" spans="1:2">
      <c r="A196" s="1" t="s">
        <v>413</v>
      </c>
      <c r="B196" s="1" t="s">
        <v>23</v>
      </c>
    </row>
    <row r="197" spans="1:2">
      <c r="A197" s="1" t="s">
        <v>190</v>
      </c>
      <c r="B197" s="1" t="s">
        <v>23</v>
      </c>
    </row>
    <row r="198" spans="1:2">
      <c r="A198" s="1" t="s">
        <v>414</v>
      </c>
      <c r="B198" s="1" t="s">
        <v>23</v>
      </c>
    </row>
    <row r="199" spans="1:2">
      <c r="A199" s="1" t="s">
        <v>415</v>
      </c>
      <c r="B199" s="1" t="s">
        <v>416</v>
      </c>
    </row>
    <row r="200" spans="1:2">
      <c r="A200" s="1" t="s">
        <v>417</v>
      </c>
      <c r="B200" s="1" t="s">
        <v>8</v>
      </c>
    </row>
    <row r="201" spans="1:2">
      <c r="A201" s="1" t="s">
        <v>418</v>
      </c>
      <c r="B201" s="1" t="s">
        <v>9</v>
      </c>
    </row>
    <row r="202" spans="1:2">
      <c r="A202" s="1" t="s">
        <v>419</v>
      </c>
      <c r="B202" s="1" t="s">
        <v>9</v>
      </c>
    </row>
    <row r="203" spans="1:2">
      <c r="A203" s="1" t="s">
        <v>420</v>
      </c>
      <c r="B203" s="1" t="s">
        <v>9</v>
      </c>
    </row>
    <row r="204" spans="1:2">
      <c r="A204" s="1" t="s">
        <v>421</v>
      </c>
      <c r="B204" s="1" t="s">
        <v>9</v>
      </c>
    </row>
    <row r="205" spans="1:2">
      <c r="A205" s="1" t="s">
        <v>422</v>
      </c>
      <c r="B205" s="1" t="s">
        <v>9</v>
      </c>
    </row>
    <row r="206" spans="1:2">
      <c r="A206" s="1" t="s">
        <v>423</v>
      </c>
      <c r="B206" s="1" t="s">
        <v>9</v>
      </c>
    </row>
    <row r="207" spans="1:2">
      <c r="A207" s="1" t="s">
        <v>424</v>
      </c>
      <c r="B207" s="1" t="s">
        <v>9</v>
      </c>
    </row>
    <row r="208" spans="1:2">
      <c r="A208" s="1" t="s">
        <v>425</v>
      </c>
      <c r="B208" s="1" t="s">
        <v>9</v>
      </c>
    </row>
    <row r="209" spans="1:2">
      <c r="A209" s="1" t="s">
        <v>426</v>
      </c>
      <c r="B209" s="1" t="s">
        <v>9</v>
      </c>
    </row>
    <row r="210" spans="1:2">
      <c r="A210" s="1" t="s">
        <v>427</v>
      </c>
      <c r="B210" s="1" t="s">
        <v>9</v>
      </c>
    </row>
    <row r="211" spans="1:2">
      <c r="A211" s="1" t="s">
        <v>428</v>
      </c>
      <c r="B211" s="1" t="s">
        <v>9</v>
      </c>
    </row>
    <row r="212" spans="1:2">
      <c r="A212" s="1" t="s">
        <v>429</v>
      </c>
      <c r="B212" s="1" t="s">
        <v>9</v>
      </c>
    </row>
    <row r="213" spans="1:2">
      <c r="A213" s="1" t="s">
        <v>430</v>
      </c>
      <c r="B213" s="1" t="s">
        <v>9</v>
      </c>
    </row>
    <row r="214" spans="1:2">
      <c r="A214" s="1" t="s">
        <v>431</v>
      </c>
      <c r="B214" s="1" t="s">
        <v>9</v>
      </c>
    </row>
    <row r="215" spans="1:2">
      <c r="A215" s="1" t="s">
        <v>432</v>
      </c>
      <c r="B215" s="1" t="s">
        <v>9</v>
      </c>
    </row>
    <row r="216" spans="1:2">
      <c r="A216" s="1" t="s">
        <v>433</v>
      </c>
      <c r="B216" s="1" t="s">
        <v>9</v>
      </c>
    </row>
    <row r="217" spans="1:2">
      <c r="A217" s="1" t="s">
        <v>434</v>
      </c>
      <c r="B217" s="1" t="s">
        <v>9</v>
      </c>
    </row>
    <row r="218" spans="1:2">
      <c r="A218" s="1" t="s">
        <v>435</v>
      </c>
      <c r="B218" s="1" t="s">
        <v>9</v>
      </c>
    </row>
    <row r="219" spans="1:2">
      <c r="A219" s="1" t="s">
        <v>436</v>
      </c>
      <c r="B219" s="1" t="s">
        <v>9</v>
      </c>
    </row>
    <row r="220" spans="1:2">
      <c r="A220" s="1" t="s">
        <v>437</v>
      </c>
      <c r="B220" s="1" t="s">
        <v>9</v>
      </c>
    </row>
    <row r="221" spans="1:2">
      <c r="A221" s="1" t="s">
        <v>438</v>
      </c>
      <c r="B221" s="1" t="s">
        <v>9</v>
      </c>
    </row>
    <row r="222" spans="1:2">
      <c r="A222" s="1" t="s">
        <v>439</v>
      </c>
      <c r="B222" s="1" t="s">
        <v>9</v>
      </c>
    </row>
    <row r="223" spans="1:2">
      <c r="A223" s="1" t="s">
        <v>440</v>
      </c>
      <c r="B223" s="1" t="s">
        <v>9</v>
      </c>
    </row>
    <row r="224" spans="1:2">
      <c r="A224" s="1" t="s">
        <v>441</v>
      </c>
      <c r="B224" s="1" t="s">
        <v>9</v>
      </c>
    </row>
    <row r="225" spans="1:2">
      <c r="A225" s="1" t="s">
        <v>442</v>
      </c>
      <c r="B225" s="1" t="s">
        <v>9</v>
      </c>
    </row>
    <row r="226" spans="1:2">
      <c r="A226" s="1" t="s">
        <v>443</v>
      </c>
      <c r="B226" s="1" t="s">
        <v>9</v>
      </c>
    </row>
    <row r="227" spans="1:2">
      <c r="A227" s="1" t="s">
        <v>444</v>
      </c>
      <c r="B227" s="1" t="s">
        <v>11</v>
      </c>
    </row>
    <row r="228" spans="1:2">
      <c r="A228" s="1" t="s">
        <v>445</v>
      </c>
      <c r="B228" s="1" t="s">
        <v>11</v>
      </c>
    </row>
    <row r="229" spans="1:2">
      <c r="A229" s="1" t="s">
        <v>446</v>
      </c>
      <c r="B229" s="1" t="s">
        <v>11</v>
      </c>
    </row>
    <row r="230" spans="1:2">
      <c r="A230" s="1" t="s">
        <v>447</v>
      </c>
      <c r="B230" s="1" t="s">
        <v>11</v>
      </c>
    </row>
    <row r="231" spans="1:2">
      <c r="A231" s="1" t="s">
        <v>448</v>
      </c>
      <c r="B231" s="1" t="s">
        <v>11</v>
      </c>
    </row>
    <row r="232" spans="1:2">
      <c r="A232" s="1" t="s">
        <v>449</v>
      </c>
      <c r="B232" s="1" t="s">
        <v>11</v>
      </c>
    </row>
    <row r="233" spans="1:2">
      <c r="A233" s="1" t="s">
        <v>450</v>
      </c>
      <c r="B233" s="1" t="s">
        <v>11</v>
      </c>
    </row>
    <row r="234" spans="1:2">
      <c r="A234" s="1" t="s">
        <v>451</v>
      </c>
      <c r="B234" s="1" t="s">
        <v>11</v>
      </c>
    </row>
    <row r="235" spans="1:2">
      <c r="A235" s="1" t="s">
        <v>452</v>
      </c>
      <c r="B235" s="1" t="s">
        <v>11</v>
      </c>
    </row>
    <row r="236" spans="1:2">
      <c r="A236" s="1" t="s">
        <v>453</v>
      </c>
      <c r="B236" s="1" t="s">
        <v>11</v>
      </c>
    </row>
    <row r="237" spans="1:2">
      <c r="A237" s="1" t="s">
        <v>454</v>
      </c>
      <c r="B237" s="1" t="s">
        <v>10</v>
      </c>
    </row>
    <row r="238" spans="1:2">
      <c r="A238" s="1" t="s">
        <v>455</v>
      </c>
      <c r="B238" s="1" t="s">
        <v>10</v>
      </c>
    </row>
    <row r="239" spans="1:2">
      <c r="A239" s="1" t="s">
        <v>456</v>
      </c>
      <c r="B239" s="1" t="s">
        <v>10</v>
      </c>
    </row>
    <row r="240" spans="1:2">
      <c r="A240" s="1" t="s">
        <v>457</v>
      </c>
      <c r="B240" s="1" t="s">
        <v>10</v>
      </c>
    </row>
    <row r="241" spans="1:2">
      <c r="A241" s="1" t="s">
        <v>458</v>
      </c>
      <c r="B241" s="1" t="s">
        <v>10</v>
      </c>
    </row>
    <row r="242" spans="1:2">
      <c r="A242" s="1" t="s">
        <v>459</v>
      </c>
      <c r="B242" s="1" t="s">
        <v>10</v>
      </c>
    </row>
    <row r="243" spans="1:2">
      <c r="A243" s="1" t="s">
        <v>460</v>
      </c>
      <c r="B243" s="1" t="s">
        <v>10</v>
      </c>
    </row>
    <row r="244" spans="1:2">
      <c r="A244" s="1" t="s">
        <v>461</v>
      </c>
      <c r="B244" s="1" t="s">
        <v>10</v>
      </c>
    </row>
    <row r="245" spans="1:2">
      <c r="A245" s="1" t="s">
        <v>462</v>
      </c>
      <c r="B245" s="1" t="s">
        <v>10</v>
      </c>
    </row>
    <row r="246" spans="1:2">
      <c r="A246" s="1" t="s">
        <v>463</v>
      </c>
      <c r="B246" s="1" t="s">
        <v>10</v>
      </c>
    </row>
    <row r="247" spans="1:2">
      <c r="A247" s="1" t="s">
        <v>464</v>
      </c>
      <c r="B247" s="1" t="s">
        <v>10</v>
      </c>
    </row>
    <row r="248" spans="1:2">
      <c r="A248" s="1" t="s">
        <v>465</v>
      </c>
      <c r="B248" s="1" t="s">
        <v>10</v>
      </c>
    </row>
    <row r="249" spans="1:2">
      <c r="A249" s="1" t="s">
        <v>466</v>
      </c>
      <c r="B249" s="1" t="s">
        <v>10</v>
      </c>
    </row>
    <row r="250" spans="1:2">
      <c r="A250" s="1" t="s">
        <v>467</v>
      </c>
      <c r="B250" s="1" t="s">
        <v>10</v>
      </c>
    </row>
    <row r="251" spans="1:2">
      <c r="A251" s="1" t="s">
        <v>468</v>
      </c>
      <c r="B251" s="1" t="s">
        <v>10</v>
      </c>
    </row>
    <row r="252" spans="1:2">
      <c r="A252" s="1" t="s">
        <v>469</v>
      </c>
      <c r="B252" s="1" t="s">
        <v>10</v>
      </c>
    </row>
    <row r="253" spans="1:2">
      <c r="A253" s="1" t="s">
        <v>470</v>
      </c>
      <c r="B253" s="1" t="s">
        <v>10</v>
      </c>
    </row>
    <row r="254" spans="1:2">
      <c r="A254" s="1" t="s">
        <v>471</v>
      </c>
      <c r="B254" s="1" t="s">
        <v>10</v>
      </c>
    </row>
    <row r="255" spans="1:2">
      <c r="A255" s="1" t="s">
        <v>472</v>
      </c>
      <c r="B255" s="1" t="s">
        <v>10</v>
      </c>
    </row>
    <row r="256" spans="1:2">
      <c r="A256" s="1" t="s">
        <v>473</v>
      </c>
      <c r="B256" s="1" t="s">
        <v>10</v>
      </c>
    </row>
    <row r="257" spans="1:2">
      <c r="A257" s="1" t="s">
        <v>474</v>
      </c>
      <c r="B257" s="1" t="s">
        <v>10</v>
      </c>
    </row>
    <row r="258" spans="1:2">
      <c r="A258" s="1" t="s">
        <v>475</v>
      </c>
      <c r="B258" s="1" t="s">
        <v>12</v>
      </c>
    </row>
    <row r="259" spans="1:2">
      <c r="A259" s="1" t="s">
        <v>476</v>
      </c>
      <c r="B259" s="1" t="s">
        <v>12</v>
      </c>
    </row>
    <row r="260" spans="1:2">
      <c r="A260" s="1" t="s">
        <v>477</v>
      </c>
      <c r="B260" s="1" t="s">
        <v>12</v>
      </c>
    </row>
    <row r="261" spans="1:2">
      <c r="A261" s="1" t="s">
        <v>478</v>
      </c>
      <c r="B261" s="1" t="s">
        <v>12</v>
      </c>
    </row>
    <row r="262" spans="1:2">
      <c r="A262" s="1" t="s">
        <v>479</v>
      </c>
      <c r="B262" s="1" t="s">
        <v>12</v>
      </c>
    </row>
    <row r="263" spans="1:2">
      <c r="A263" s="1" t="s">
        <v>480</v>
      </c>
      <c r="B263" s="1" t="s">
        <v>12</v>
      </c>
    </row>
    <row r="264" spans="1:2">
      <c r="A264" s="1" t="s">
        <v>481</v>
      </c>
      <c r="B264" s="1" t="s">
        <v>12</v>
      </c>
    </row>
    <row r="265" spans="1:2">
      <c r="A265" s="1" t="s">
        <v>482</v>
      </c>
      <c r="B265" s="1" t="s">
        <v>12</v>
      </c>
    </row>
    <row r="266" spans="1:2">
      <c r="A266" s="1" t="s">
        <v>483</v>
      </c>
      <c r="B266" s="1" t="s">
        <v>12</v>
      </c>
    </row>
    <row r="267" spans="1:2">
      <c r="A267" s="1" t="s">
        <v>484</v>
      </c>
      <c r="B267" s="1" t="s">
        <v>12</v>
      </c>
    </row>
    <row r="268" spans="1:2">
      <c r="A268" s="1" t="s">
        <v>485</v>
      </c>
      <c r="B268" s="1" t="s">
        <v>12</v>
      </c>
    </row>
    <row r="269" spans="1:2">
      <c r="A269" s="1" t="s">
        <v>486</v>
      </c>
      <c r="B269" s="1" t="s">
        <v>12</v>
      </c>
    </row>
    <row r="270" spans="1:2">
      <c r="A270" s="1" t="s">
        <v>487</v>
      </c>
      <c r="B270" s="1" t="s">
        <v>12</v>
      </c>
    </row>
    <row r="271" spans="1:2">
      <c r="A271" s="1" t="s">
        <v>488</v>
      </c>
      <c r="B271" s="1" t="s">
        <v>12</v>
      </c>
    </row>
    <row r="272" spans="1:2">
      <c r="A272" s="1" t="s">
        <v>489</v>
      </c>
      <c r="B272" s="1" t="s">
        <v>12</v>
      </c>
    </row>
    <row r="273" spans="1:2">
      <c r="A273" s="1" t="s">
        <v>490</v>
      </c>
      <c r="B273" s="1" t="s">
        <v>12</v>
      </c>
    </row>
    <row r="274" spans="1:2">
      <c r="A274" s="1" t="s">
        <v>491</v>
      </c>
      <c r="B274" s="1" t="s">
        <v>12</v>
      </c>
    </row>
    <row r="275" spans="1:2">
      <c r="A275" s="1" t="s">
        <v>492</v>
      </c>
      <c r="B275" s="1" t="s">
        <v>12</v>
      </c>
    </row>
    <row r="276" spans="1:2">
      <c r="A276" s="1" t="s">
        <v>493</v>
      </c>
      <c r="B276" s="1" t="s">
        <v>12</v>
      </c>
    </row>
    <row r="277" spans="1:2">
      <c r="A277" s="1" t="s">
        <v>494</v>
      </c>
      <c r="B277" s="1" t="s">
        <v>12</v>
      </c>
    </row>
    <row r="278" spans="1:2">
      <c r="A278" s="1" t="s">
        <v>495</v>
      </c>
      <c r="B278" s="1" t="s">
        <v>12</v>
      </c>
    </row>
    <row r="279" spans="1:2">
      <c r="A279" s="1" t="s">
        <v>496</v>
      </c>
      <c r="B279" s="1" t="s">
        <v>12</v>
      </c>
    </row>
    <row r="280" spans="1:2">
      <c r="A280" s="1" t="s">
        <v>497</v>
      </c>
      <c r="B280" s="1" t="s">
        <v>498</v>
      </c>
    </row>
    <row r="281" spans="1:2">
      <c r="A281" s="1" t="s">
        <v>499</v>
      </c>
      <c r="B281" s="1" t="s">
        <v>498</v>
      </c>
    </row>
    <row r="282" spans="1:2">
      <c r="A282" s="1" t="s">
        <v>500</v>
      </c>
      <c r="B282" s="1" t="s">
        <v>498</v>
      </c>
    </row>
    <row r="283" spans="1:2">
      <c r="A283" s="1" t="s">
        <v>501</v>
      </c>
      <c r="B283" s="1" t="s">
        <v>498</v>
      </c>
    </row>
    <row r="284" spans="1:2">
      <c r="A284" s="1" t="s">
        <v>502</v>
      </c>
      <c r="B284" s="1" t="s">
        <v>498</v>
      </c>
    </row>
    <row r="285" spans="1:2">
      <c r="A285" s="1" t="s">
        <v>503</v>
      </c>
      <c r="B285" s="1" t="s">
        <v>498</v>
      </c>
    </row>
    <row r="286" spans="1:2">
      <c r="A286" s="1" t="s">
        <v>504</v>
      </c>
      <c r="B286" s="1" t="s">
        <v>498</v>
      </c>
    </row>
    <row r="287" spans="1:2">
      <c r="A287" s="1" t="s">
        <v>505</v>
      </c>
      <c r="B287" s="1" t="s">
        <v>498</v>
      </c>
    </row>
    <row r="288" spans="1:2">
      <c r="A288" s="1" t="s">
        <v>506</v>
      </c>
      <c r="B288" s="1" t="s">
        <v>498</v>
      </c>
    </row>
    <row r="289" spans="1:2">
      <c r="A289" s="1" t="s">
        <v>507</v>
      </c>
      <c r="B289" s="1" t="s">
        <v>498</v>
      </c>
    </row>
    <row r="290" spans="1:2">
      <c r="A290" s="1" t="s">
        <v>508</v>
      </c>
      <c r="B290" s="1" t="s">
        <v>498</v>
      </c>
    </row>
    <row r="291" spans="1:2">
      <c r="A291" s="1" t="s">
        <v>509</v>
      </c>
      <c r="B291" s="1" t="s">
        <v>13</v>
      </c>
    </row>
    <row r="292" spans="1:2">
      <c r="A292" s="1" t="s">
        <v>510</v>
      </c>
      <c r="B292" s="1" t="s">
        <v>13</v>
      </c>
    </row>
    <row r="293" spans="1:2">
      <c r="A293" s="1" t="s">
        <v>511</v>
      </c>
      <c r="B293" s="1" t="s">
        <v>13</v>
      </c>
    </row>
    <row r="294" spans="1:2">
      <c r="A294" s="1" t="s">
        <v>512</v>
      </c>
      <c r="B294" s="1" t="s">
        <v>13</v>
      </c>
    </row>
    <row r="295" spans="1:2">
      <c r="A295" s="1" t="s">
        <v>513</v>
      </c>
      <c r="B295" s="1" t="s">
        <v>13</v>
      </c>
    </row>
    <row r="296" spans="1:2">
      <c r="A296" s="1" t="s">
        <v>514</v>
      </c>
      <c r="B296" s="1" t="s">
        <v>13</v>
      </c>
    </row>
    <row r="297" spans="1:2">
      <c r="A297" s="1" t="s">
        <v>515</v>
      </c>
      <c r="B297" s="1" t="s">
        <v>13</v>
      </c>
    </row>
    <row r="298" spans="1:2">
      <c r="A298" s="1" t="s">
        <v>516</v>
      </c>
      <c r="B298" s="1" t="s">
        <v>13</v>
      </c>
    </row>
    <row r="299" spans="1:2">
      <c r="A299" s="1" t="s">
        <v>517</v>
      </c>
      <c r="B299" s="1" t="s">
        <v>13</v>
      </c>
    </row>
    <row r="300" spans="1:2">
      <c r="A300" s="1" t="s">
        <v>518</v>
      </c>
      <c r="B300" s="1" t="s">
        <v>13</v>
      </c>
    </row>
    <row r="301" spans="1:2">
      <c r="A301" s="1" t="s">
        <v>519</v>
      </c>
      <c r="B301" s="1" t="s">
        <v>13</v>
      </c>
    </row>
    <row r="302" spans="1:2">
      <c r="A302" s="1" t="s">
        <v>520</v>
      </c>
      <c r="B302" s="1" t="s">
        <v>13</v>
      </c>
    </row>
    <row r="303" spans="1:2">
      <c r="A303" s="1" t="s">
        <v>521</v>
      </c>
      <c r="B303" s="1" t="s">
        <v>13</v>
      </c>
    </row>
    <row r="304" spans="1:2">
      <c r="A304" s="1" t="s">
        <v>522</v>
      </c>
      <c r="B304" s="1" t="s">
        <v>13</v>
      </c>
    </row>
    <row r="305" spans="1:2">
      <c r="A305" s="1" t="s">
        <v>523</v>
      </c>
      <c r="B305" s="1" t="s">
        <v>13</v>
      </c>
    </row>
    <row r="306" spans="1:2">
      <c r="A306" s="1" t="s">
        <v>524</v>
      </c>
      <c r="B306" s="1" t="s">
        <v>13</v>
      </c>
    </row>
    <row r="307" spans="1:2">
      <c r="A307" s="1" t="s">
        <v>525</v>
      </c>
      <c r="B307" s="1" t="s">
        <v>13</v>
      </c>
    </row>
    <row r="308" spans="1:2">
      <c r="A308" s="1" t="s">
        <v>526</v>
      </c>
      <c r="B308" s="1" t="s">
        <v>13</v>
      </c>
    </row>
    <row r="309" spans="1:2">
      <c r="A309" s="1" t="s">
        <v>527</v>
      </c>
      <c r="B309" s="1" t="s">
        <v>13</v>
      </c>
    </row>
    <row r="310" spans="1:2">
      <c r="A310" s="1" t="s">
        <v>528</v>
      </c>
      <c r="B310" s="1" t="s">
        <v>13</v>
      </c>
    </row>
    <row r="311" spans="1:2">
      <c r="A311" s="1" t="s">
        <v>529</v>
      </c>
      <c r="B311" s="1" t="s">
        <v>13</v>
      </c>
    </row>
    <row r="312" spans="1:2">
      <c r="A312" s="1" t="s">
        <v>530</v>
      </c>
      <c r="B312" s="1" t="s">
        <v>13</v>
      </c>
    </row>
    <row r="313" spans="1:2">
      <c r="A313" s="1" t="s">
        <v>531</v>
      </c>
      <c r="B313" s="1" t="s">
        <v>13</v>
      </c>
    </row>
    <row r="314" spans="1:2">
      <c r="A314" s="1" t="s">
        <v>532</v>
      </c>
      <c r="B314" s="1" t="s">
        <v>13</v>
      </c>
    </row>
    <row r="315" spans="1:2">
      <c r="A315" s="1" t="s">
        <v>533</v>
      </c>
      <c r="B315" s="1" t="s">
        <v>13</v>
      </c>
    </row>
    <row r="316" spans="1:2">
      <c r="A316" s="1" t="s">
        <v>534</v>
      </c>
      <c r="B316" s="1" t="s">
        <v>13</v>
      </c>
    </row>
    <row r="317" spans="1:2">
      <c r="A317" s="1" t="s">
        <v>535</v>
      </c>
      <c r="B317" s="1" t="s">
        <v>13</v>
      </c>
    </row>
    <row r="318" spans="1:2">
      <c r="A318" s="1" t="s">
        <v>536</v>
      </c>
      <c r="B318" s="1" t="s">
        <v>13</v>
      </c>
    </row>
    <row r="319" spans="1:2">
      <c r="A319" s="1" t="s">
        <v>537</v>
      </c>
      <c r="B319" s="1" t="s">
        <v>13</v>
      </c>
    </row>
    <row r="320" spans="1:2">
      <c r="A320" s="1" t="s">
        <v>538</v>
      </c>
      <c r="B320" s="1" t="s">
        <v>14</v>
      </c>
    </row>
    <row r="321" spans="1:2">
      <c r="A321" s="1" t="s">
        <v>539</v>
      </c>
      <c r="B321" s="1" t="s">
        <v>14</v>
      </c>
    </row>
    <row r="322" spans="1:2">
      <c r="A322" s="1" t="s">
        <v>540</v>
      </c>
      <c r="B322" s="1" t="s">
        <v>14</v>
      </c>
    </row>
    <row r="323" spans="1:2">
      <c r="A323" s="1" t="s">
        <v>541</v>
      </c>
      <c r="B323" s="1" t="s">
        <v>14</v>
      </c>
    </row>
    <row r="324" spans="1:2">
      <c r="A324" s="1" t="s">
        <v>542</v>
      </c>
      <c r="B324" s="1" t="s">
        <v>14</v>
      </c>
    </row>
    <row r="325" spans="1:2">
      <c r="A325" s="1" t="s">
        <v>543</v>
      </c>
      <c r="B325" s="1" t="s">
        <v>14</v>
      </c>
    </row>
    <row r="326" spans="1:2">
      <c r="A326" s="1" t="s">
        <v>544</v>
      </c>
      <c r="B326" s="1" t="s">
        <v>14</v>
      </c>
    </row>
    <row r="327" spans="1:2">
      <c r="A327" s="1" t="s">
        <v>545</v>
      </c>
      <c r="B327" s="1" t="s">
        <v>14</v>
      </c>
    </row>
    <row r="328" spans="1:2">
      <c r="A328" s="1" t="s">
        <v>546</v>
      </c>
      <c r="B328" s="1" t="s">
        <v>14</v>
      </c>
    </row>
    <row r="329" spans="1:2">
      <c r="A329" s="1" t="s">
        <v>547</v>
      </c>
      <c r="B329" s="1" t="s">
        <v>14</v>
      </c>
    </row>
    <row r="330" spans="1:2">
      <c r="A330" s="1" t="s">
        <v>548</v>
      </c>
      <c r="B330" s="1" t="s">
        <v>14</v>
      </c>
    </row>
    <row r="331" spans="1:2">
      <c r="A331" s="1" t="s">
        <v>549</v>
      </c>
      <c r="B331" s="1" t="s">
        <v>14</v>
      </c>
    </row>
    <row r="332" spans="1:2">
      <c r="A332" s="1" t="s">
        <v>550</v>
      </c>
      <c r="B332" s="1" t="s">
        <v>14</v>
      </c>
    </row>
    <row r="333" spans="1:2">
      <c r="A333" s="1" t="s">
        <v>551</v>
      </c>
      <c r="B333" s="1" t="s">
        <v>14</v>
      </c>
    </row>
    <row r="334" spans="1:2">
      <c r="A334" s="1" t="s">
        <v>552</v>
      </c>
      <c r="B334" s="1" t="s">
        <v>553</v>
      </c>
    </row>
    <row r="335" spans="1:2">
      <c r="A335" s="1" t="s">
        <v>554</v>
      </c>
      <c r="B335" s="1" t="s">
        <v>16</v>
      </c>
    </row>
    <row r="336" spans="1:2">
      <c r="A336" s="1" t="s">
        <v>555</v>
      </c>
      <c r="B336" s="1" t="s">
        <v>16</v>
      </c>
    </row>
    <row r="337" spans="1:2">
      <c r="A337" s="1" t="s">
        <v>556</v>
      </c>
      <c r="B337" s="1" t="s">
        <v>16</v>
      </c>
    </row>
    <row r="338" spans="1:2">
      <c r="A338" s="1" t="s">
        <v>557</v>
      </c>
      <c r="B338" s="1" t="s">
        <v>16</v>
      </c>
    </row>
    <row r="339" spans="1:2">
      <c r="A339" s="1" t="s">
        <v>558</v>
      </c>
      <c r="B339" s="1" t="s">
        <v>16</v>
      </c>
    </row>
    <row r="340" spans="1:2">
      <c r="A340" s="1" t="s">
        <v>559</v>
      </c>
      <c r="B340" s="1" t="s">
        <v>16</v>
      </c>
    </row>
    <row r="341" spans="1:2">
      <c r="A341" s="1" t="s">
        <v>560</v>
      </c>
      <c r="B341" s="1" t="s">
        <v>16</v>
      </c>
    </row>
    <row r="342" spans="1:2">
      <c r="A342" s="1" t="s">
        <v>561</v>
      </c>
      <c r="B342" s="1" t="s">
        <v>3</v>
      </c>
    </row>
    <row r="343" spans="1:2">
      <c r="A343" s="1" t="s">
        <v>562</v>
      </c>
      <c r="B343" s="1" t="s">
        <v>3</v>
      </c>
    </row>
    <row r="344" spans="1:2">
      <c r="A344" s="1" t="s">
        <v>563</v>
      </c>
      <c r="B344" s="1" t="s">
        <v>3</v>
      </c>
    </row>
    <row r="345" spans="1:2">
      <c r="A345" s="1" t="s">
        <v>564</v>
      </c>
      <c r="B345" s="1" t="s">
        <v>3</v>
      </c>
    </row>
    <row r="346" spans="1:2">
      <c r="A346" s="1" t="s">
        <v>565</v>
      </c>
      <c r="B346" s="1" t="s">
        <v>3</v>
      </c>
    </row>
    <row r="347" spans="1:2">
      <c r="A347" s="1" t="s">
        <v>566</v>
      </c>
      <c r="B347" s="1" t="s">
        <v>3</v>
      </c>
    </row>
    <row r="348" spans="1:2">
      <c r="A348" s="1" t="s">
        <v>567</v>
      </c>
      <c r="B348" s="1" t="s">
        <v>3</v>
      </c>
    </row>
    <row r="349" spans="1:2">
      <c r="A349" s="1" t="s">
        <v>568</v>
      </c>
      <c r="B349" s="1" t="s">
        <v>3</v>
      </c>
    </row>
    <row r="350" spans="1:2">
      <c r="A350" s="1" t="s">
        <v>569</v>
      </c>
      <c r="B350" s="1" t="s">
        <v>3</v>
      </c>
    </row>
    <row r="351" spans="1:2">
      <c r="A351" s="1" t="s">
        <v>570</v>
      </c>
      <c r="B351" s="1" t="s">
        <v>3</v>
      </c>
    </row>
    <row r="352" spans="1:2">
      <c r="A352" s="1" t="s">
        <v>571</v>
      </c>
      <c r="B352" s="1" t="s">
        <v>3</v>
      </c>
    </row>
    <row r="353" spans="1:2">
      <c r="A353" s="1" t="s">
        <v>572</v>
      </c>
      <c r="B353" s="1" t="s">
        <v>3</v>
      </c>
    </row>
    <row r="354" spans="1:2">
      <c r="A354" s="1" t="s">
        <v>573</v>
      </c>
      <c r="B354" s="1" t="s">
        <v>3</v>
      </c>
    </row>
    <row r="355" spans="1:2">
      <c r="A355" s="1" t="s">
        <v>574</v>
      </c>
      <c r="B355" s="1" t="s">
        <v>3</v>
      </c>
    </row>
    <row r="356" spans="1:2">
      <c r="A356" s="1" t="s">
        <v>575</v>
      </c>
      <c r="B356" s="1" t="s">
        <v>3</v>
      </c>
    </row>
    <row r="357" spans="1:2">
      <c r="A357" s="1" t="s">
        <v>576</v>
      </c>
      <c r="B357" s="1" t="s">
        <v>3</v>
      </c>
    </row>
    <row r="358" spans="1:2">
      <c r="A358" s="1" t="s">
        <v>577</v>
      </c>
      <c r="B358" s="1" t="s">
        <v>3</v>
      </c>
    </row>
    <row r="359" spans="1:2">
      <c r="A359" s="1" t="s">
        <v>578</v>
      </c>
      <c r="B359" s="1" t="s">
        <v>3</v>
      </c>
    </row>
    <row r="360" spans="1:2">
      <c r="A360" s="1" t="s">
        <v>579</v>
      </c>
      <c r="B360" s="1" t="s">
        <v>3</v>
      </c>
    </row>
    <row r="361" spans="1:2">
      <c r="A361" s="1" t="s">
        <v>580</v>
      </c>
      <c r="B361" s="1" t="s">
        <v>3</v>
      </c>
    </row>
    <row r="362" spans="1:2">
      <c r="A362" s="1" t="s">
        <v>581</v>
      </c>
      <c r="B362" s="1" t="s">
        <v>3</v>
      </c>
    </row>
    <row r="363" spans="1:2">
      <c r="A363" s="1" t="s">
        <v>582</v>
      </c>
      <c r="B363" s="1" t="s">
        <v>3</v>
      </c>
    </row>
    <row r="364" spans="1:2">
      <c r="A364" s="1" t="s">
        <v>583</v>
      </c>
      <c r="B364" s="1" t="s">
        <v>3</v>
      </c>
    </row>
    <row r="365" spans="1:2">
      <c r="A365" s="1" t="s">
        <v>584</v>
      </c>
      <c r="B365" s="1" t="s">
        <v>3</v>
      </c>
    </row>
    <row r="366" spans="1:2">
      <c r="A366" s="1" t="s">
        <v>585</v>
      </c>
      <c r="B366" s="1" t="s">
        <v>3</v>
      </c>
    </row>
    <row r="367" spans="1:2">
      <c r="A367" s="1" t="s">
        <v>586</v>
      </c>
      <c r="B367" s="1" t="s">
        <v>3</v>
      </c>
    </row>
    <row r="368" spans="1:2">
      <c r="A368" s="1" t="s">
        <v>587</v>
      </c>
      <c r="B368" s="1" t="s">
        <v>3</v>
      </c>
    </row>
    <row r="369" spans="1:2">
      <c r="A369" s="1" t="s">
        <v>588</v>
      </c>
      <c r="B369" s="1" t="s">
        <v>3</v>
      </c>
    </row>
    <row r="370" spans="1:2">
      <c r="A370" s="1" t="s">
        <v>589</v>
      </c>
      <c r="B370" s="1" t="s">
        <v>3</v>
      </c>
    </row>
    <row r="371" spans="1:2">
      <c r="A371" s="1" t="s">
        <v>590</v>
      </c>
      <c r="B371" s="1" t="s">
        <v>3</v>
      </c>
    </row>
    <row r="372" spans="1:2">
      <c r="A372" s="1" t="s">
        <v>591</v>
      </c>
      <c r="B372" s="1" t="s">
        <v>3</v>
      </c>
    </row>
    <row r="373" spans="1:2">
      <c r="A373" s="1" t="s">
        <v>592</v>
      </c>
      <c r="B373" s="1" t="s">
        <v>3</v>
      </c>
    </row>
    <row r="374" spans="1:2">
      <c r="A374" s="1" t="s">
        <v>593</v>
      </c>
      <c r="B374" s="1" t="s">
        <v>3</v>
      </c>
    </row>
    <row r="375" spans="1:2">
      <c r="A375" s="1" t="s">
        <v>594</v>
      </c>
      <c r="B375" s="1" t="s">
        <v>595</v>
      </c>
    </row>
    <row r="376" spans="1:2">
      <c r="A376" s="1" t="s">
        <v>596</v>
      </c>
      <c r="B376" s="1" t="s">
        <v>595</v>
      </c>
    </row>
    <row r="377" spans="1:2">
      <c r="A377" s="1" t="s">
        <v>597</v>
      </c>
      <c r="B377" s="1" t="s">
        <v>595</v>
      </c>
    </row>
    <row r="378" spans="1:2">
      <c r="A378" s="1" t="s">
        <v>598</v>
      </c>
      <c r="B378" s="1" t="s">
        <v>595</v>
      </c>
    </row>
    <row r="379" spans="1:2">
      <c r="A379" s="1" t="s">
        <v>599</v>
      </c>
      <c r="B379" s="1" t="s">
        <v>595</v>
      </c>
    </row>
    <row r="380" spans="1:2">
      <c r="A380" s="1" t="s">
        <v>600</v>
      </c>
      <c r="B380" s="1" t="s">
        <v>595</v>
      </c>
    </row>
    <row r="381" spans="1:2">
      <c r="A381" s="1" t="s">
        <v>601</v>
      </c>
      <c r="B381" s="1" t="s">
        <v>595</v>
      </c>
    </row>
    <row r="382" spans="1:2">
      <c r="A382" s="1" t="s">
        <v>602</v>
      </c>
      <c r="B382" s="1" t="s">
        <v>595</v>
      </c>
    </row>
    <row r="383" spans="1:2">
      <c r="A383" s="1" t="s">
        <v>603</v>
      </c>
      <c r="B383" s="1" t="s">
        <v>595</v>
      </c>
    </row>
    <row r="384" spans="1:2">
      <c r="A384" s="1" t="s">
        <v>604</v>
      </c>
      <c r="B384" s="1" t="s">
        <v>595</v>
      </c>
    </row>
    <row r="385" spans="1:2">
      <c r="A385" s="1" t="s">
        <v>605</v>
      </c>
      <c r="B385" s="1" t="s">
        <v>15</v>
      </c>
    </row>
    <row r="386" spans="1:2">
      <c r="A386" s="1" t="s">
        <v>606</v>
      </c>
      <c r="B386" s="1" t="s">
        <v>15</v>
      </c>
    </row>
    <row r="387" spans="1:2">
      <c r="A387" s="1" t="s">
        <v>607</v>
      </c>
      <c r="B387" s="1" t="s">
        <v>15</v>
      </c>
    </row>
    <row r="388" spans="1:2">
      <c r="A388" s="1" t="s">
        <v>608</v>
      </c>
      <c r="B388" s="1" t="s">
        <v>15</v>
      </c>
    </row>
    <row r="389" spans="1:2">
      <c r="A389" s="1" t="s">
        <v>609</v>
      </c>
      <c r="B389" s="1" t="s">
        <v>15</v>
      </c>
    </row>
    <row r="390" spans="1:2">
      <c r="A390" s="1" t="s">
        <v>610</v>
      </c>
      <c r="B390" s="1" t="s">
        <v>15</v>
      </c>
    </row>
    <row r="391" spans="1:2">
      <c r="A391" s="1" t="s">
        <v>611</v>
      </c>
      <c r="B391" s="1" t="s">
        <v>15</v>
      </c>
    </row>
    <row r="392" spans="1:2">
      <c r="A392" s="1" t="s">
        <v>612</v>
      </c>
      <c r="B392" s="1" t="s">
        <v>15</v>
      </c>
    </row>
    <row r="393" spans="1:2">
      <c r="A393" s="1" t="s">
        <v>613</v>
      </c>
      <c r="B393" s="1" t="s">
        <v>15</v>
      </c>
    </row>
    <row r="394" spans="1:2">
      <c r="A394" s="1" t="s">
        <v>614</v>
      </c>
      <c r="B394" s="1" t="s">
        <v>15</v>
      </c>
    </row>
    <row r="395" spans="1:2">
      <c r="A395" s="1" t="s">
        <v>615</v>
      </c>
      <c r="B395" s="1" t="s">
        <v>15</v>
      </c>
    </row>
    <row r="396" spans="1:2">
      <c r="A396" s="1" t="s">
        <v>616</v>
      </c>
      <c r="B396" s="1" t="s">
        <v>15</v>
      </c>
    </row>
    <row r="397" spans="1:2">
      <c r="A397" s="1" t="s">
        <v>617</v>
      </c>
      <c r="B397" s="1" t="s">
        <v>15</v>
      </c>
    </row>
    <row r="398" spans="1:2">
      <c r="A398" s="1" t="s">
        <v>618</v>
      </c>
      <c r="B398" s="1" t="s">
        <v>15</v>
      </c>
    </row>
    <row r="399" spans="1:2">
      <c r="A399" s="1" t="s">
        <v>619</v>
      </c>
      <c r="B399" s="1" t="s">
        <v>15</v>
      </c>
    </row>
    <row r="400" spans="1:2">
      <c r="A400" s="1" t="s">
        <v>620</v>
      </c>
      <c r="B400" s="1" t="s">
        <v>15</v>
      </c>
    </row>
    <row r="401" spans="1:2">
      <c r="A401" s="1" t="s">
        <v>621</v>
      </c>
      <c r="B401" s="1" t="s">
        <v>15</v>
      </c>
    </row>
    <row r="402" spans="1:2">
      <c r="A402" s="1" t="s">
        <v>622</v>
      </c>
      <c r="B402" s="1" t="s">
        <v>15</v>
      </c>
    </row>
    <row r="403" spans="1:2">
      <c r="A403" s="1" t="s">
        <v>623</v>
      </c>
      <c r="B403" s="1" t="s">
        <v>15</v>
      </c>
    </row>
    <row r="404" spans="1:2">
      <c r="A404" s="1" t="s">
        <v>624</v>
      </c>
      <c r="B404" s="1" t="s">
        <v>15</v>
      </c>
    </row>
    <row r="405" spans="1:2">
      <c r="A405" s="1" t="s">
        <v>625</v>
      </c>
      <c r="B405" s="1" t="s">
        <v>15</v>
      </c>
    </row>
    <row r="406" spans="1:2">
      <c r="A406" s="1" t="s">
        <v>626</v>
      </c>
      <c r="B406" s="1" t="s">
        <v>15</v>
      </c>
    </row>
    <row r="407" spans="1:2">
      <c r="A407" s="1" t="s">
        <v>627</v>
      </c>
      <c r="B407" s="1" t="s">
        <v>15</v>
      </c>
    </row>
    <row r="408" spans="1:2">
      <c r="A408" s="1" t="s">
        <v>628</v>
      </c>
      <c r="B408" s="1" t="s">
        <v>15</v>
      </c>
    </row>
    <row r="409" spans="1:2">
      <c r="A409" s="1" t="s">
        <v>629</v>
      </c>
      <c r="B409" s="1" t="s">
        <v>15</v>
      </c>
    </row>
    <row r="410" spans="1:2">
      <c r="A410" s="1" t="s">
        <v>630</v>
      </c>
      <c r="B410" s="1" t="s">
        <v>15</v>
      </c>
    </row>
    <row r="411" spans="1:2">
      <c r="A411" s="1" t="s">
        <v>631</v>
      </c>
      <c r="B411" s="1" t="s">
        <v>15</v>
      </c>
    </row>
    <row r="412" spans="1:2">
      <c r="A412" s="1" t="s">
        <v>632</v>
      </c>
      <c r="B412" s="1" t="s">
        <v>15</v>
      </c>
    </row>
    <row r="413" spans="1:2">
      <c r="A413" s="1" t="s">
        <v>633</v>
      </c>
      <c r="B413" s="1" t="s">
        <v>15</v>
      </c>
    </row>
    <row r="414" spans="1:2">
      <c r="A414" s="1" t="s">
        <v>634</v>
      </c>
      <c r="B414" s="1" t="s">
        <v>15</v>
      </c>
    </row>
    <row r="415" spans="1:2">
      <c r="A415" s="1" t="s">
        <v>635</v>
      </c>
      <c r="B415" s="1" t="s">
        <v>15</v>
      </c>
    </row>
    <row r="416" spans="1:2">
      <c r="A416" s="1" t="s">
        <v>636</v>
      </c>
      <c r="B416" s="1" t="s">
        <v>15</v>
      </c>
    </row>
    <row r="417" spans="1:2">
      <c r="A417" s="1" t="s">
        <v>637</v>
      </c>
      <c r="B417" s="1" t="s">
        <v>15</v>
      </c>
    </row>
    <row r="418" spans="1:2">
      <c r="A418" s="1" t="s">
        <v>638</v>
      </c>
      <c r="B418" s="1" t="s">
        <v>15</v>
      </c>
    </row>
    <row r="419" spans="1:2">
      <c r="A419" s="1" t="s">
        <v>639</v>
      </c>
      <c r="B419" s="1" t="s">
        <v>15</v>
      </c>
    </row>
    <row r="420" spans="1:2">
      <c r="A420" s="1" t="s">
        <v>640</v>
      </c>
      <c r="B420" s="1" t="s">
        <v>15</v>
      </c>
    </row>
    <row r="421" spans="1:2">
      <c r="A421" s="1" t="s">
        <v>641</v>
      </c>
      <c r="B421" s="1" t="s">
        <v>15</v>
      </c>
    </row>
    <row r="422" spans="1:2">
      <c r="A422" s="1" t="s">
        <v>642</v>
      </c>
      <c r="B422" s="1" t="s">
        <v>15</v>
      </c>
    </row>
    <row r="423" spans="1:2">
      <c r="A423" s="1" t="s">
        <v>643</v>
      </c>
      <c r="B423" s="1" t="s">
        <v>15</v>
      </c>
    </row>
    <row r="424" spans="1:2">
      <c r="A424" s="1" t="s">
        <v>644</v>
      </c>
      <c r="B424" s="1" t="s">
        <v>15</v>
      </c>
    </row>
    <row r="425" spans="1:2">
      <c r="A425" s="1" t="s">
        <v>645</v>
      </c>
      <c r="B425" s="1" t="s">
        <v>15</v>
      </c>
    </row>
    <row r="426" spans="1:2">
      <c r="A426" s="1" t="s">
        <v>646</v>
      </c>
      <c r="B426" s="1" t="s">
        <v>15</v>
      </c>
    </row>
    <row r="427" spans="1:2">
      <c r="A427" s="1" t="s">
        <v>647</v>
      </c>
      <c r="B427" s="1" t="s">
        <v>15</v>
      </c>
    </row>
    <row r="428" spans="1:2">
      <c r="A428" s="1" t="s">
        <v>648</v>
      </c>
      <c r="B428" s="1" t="s">
        <v>15</v>
      </c>
    </row>
    <row r="429" spans="1:2">
      <c r="A429" s="1" t="s">
        <v>649</v>
      </c>
      <c r="B429" s="1" t="s">
        <v>15</v>
      </c>
    </row>
    <row r="430" spans="1:2">
      <c r="A430" s="1" t="s">
        <v>333</v>
      </c>
      <c r="B430" s="1" t="s">
        <v>15</v>
      </c>
    </row>
    <row r="431" spans="1:2">
      <c r="A431" s="1" t="s">
        <v>334</v>
      </c>
      <c r="B431" s="1" t="s">
        <v>15</v>
      </c>
    </row>
    <row r="432" spans="1:2">
      <c r="A432" s="1" t="s">
        <v>335</v>
      </c>
      <c r="B432" s="1" t="s">
        <v>17</v>
      </c>
    </row>
    <row r="433" spans="1:2">
      <c r="A433" s="1" t="s">
        <v>336</v>
      </c>
      <c r="B433" s="1" t="s">
        <v>17</v>
      </c>
    </row>
    <row r="434" spans="1:2">
      <c r="A434" s="1" t="s">
        <v>337</v>
      </c>
      <c r="B434" s="1" t="s">
        <v>17</v>
      </c>
    </row>
    <row r="435" spans="1:2">
      <c r="A435" s="1" t="s">
        <v>338</v>
      </c>
      <c r="B435" s="1" t="s">
        <v>17</v>
      </c>
    </row>
    <row r="436" spans="1:2">
      <c r="A436" s="1" t="s">
        <v>339</v>
      </c>
      <c r="B436" s="1" t="s">
        <v>17</v>
      </c>
    </row>
    <row r="437" spans="1:2">
      <c r="A437" s="1" t="s">
        <v>340</v>
      </c>
      <c r="B437" s="1" t="s">
        <v>17</v>
      </c>
    </row>
    <row r="438" spans="1:2">
      <c r="A438" s="1" t="s">
        <v>341</v>
      </c>
      <c r="B438" s="1" t="s">
        <v>17</v>
      </c>
    </row>
    <row r="439" spans="1:2">
      <c r="A439" s="1" t="s">
        <v>342</v>
      </c>
      <c r="B439" s="1" t="s">
        <v>17</v>
      </c>
    </row>
    <row r="440" spans="1:2">
      <c r="A440" s="1" t="s">
        <v>343</v>
      </c>
      <c r="B440" s="1" t="s">
        <v>17</v>
      </c>
    </row>
    <row r="441" spans="1:2">
      <c r="A441" s="1" t="s">
        <v>344</v>
      </c>
      <c r="B441" s="1" t="s">
        <v>18</v>
      </c>
    </row>
    <row r="442" spans="1:2">
      <c r="A442" s="1" t="s">
        <v>345</v>
      </c>
      <c r="B442" s="1" t="s">
        <v>18</v>
      </c>
    </row>
    <row r="443" spans="1:2">
      <c r="A443" s="1" t="s">
        <v>346</v>
      </c>
      <c r="B443" s="1" t="s">
        <v>18</v>
      </c>
    </row>
    <row r="444" spans="1:2">
      <c r="A444" s="1" t="s">
        <v>347</v>
      </c>
      <c r="B444" s="1" t="s">
        <v>18</v>
      </c>
    </row>
    <row r="445" spans="1:2">
      <c r="A445" s="1" t="s">
        <v>348</v>
      </c>
      <c r="B445" s="1" t="s">
        <v>18</v>
      </c>
    </row>
    <row r="446" spans="1:2">
      <c r="A446" s="1" t="s">
        <v>349</v>
      </c>
      <c r="B446" s="1" t="s">
        <v>18</v>
      </c>
    </row>
    <row r="447" spans="1:2">
      <c r="A447" s="1" t="s">
        <v>350</v>
      </c>
      <c r="B447" s="1" t="s">
        <v>18</v>
      </c>
    </row>
    <row r="448" spans="1:2">
      <c r="A448" s="1" t="s">
        <v>351</v>
      </c>
      <c r="B448" s="1" t="s">
        <v>18</v>
      </c>
    </row>
    <row r="449" spans="1:2">
      <c r="A449" s="1" t="s">
        <v>352</v>
      </c>
      <c r="B449" s="1" t="s">
        <v>18</v>
      </c>
    </row>
    <row r="450" spans="1:2">
      <c r="A450" s="1" t="s">
        <v>353</v>
      </c>
      <c r="B450" s="1" t="s">
        <v>18</v>
      </c>
    </row>
    <row r="451" spans="1:2">
      <c r="A451" s="1" t="s">
        <v>354</v>
      </c>
      <c r="B451" s="1" t="s">
        <v>18</v>
      </c>
    </row>
    <row r="452" spans="1:2">
      <c r="A452" s="1" t="s">
        <v>355</v>
      </c>
      <c r="B452" s="1" t="s">
        <v>356</v>
      </c>
    </row>
    <row r="453" spans="1:2">
      <c r="A453" s="1" t="s">
        <v>357</v>
      </c>
      <c r="B453" s="1" t="s">
        <v>356</v>
      </c>
    </row>
    <row r="454" spans="1:2">
      <c r="A454" s="1" t="s">
        <v>358</v>
      </c>
      <c r="B454" s="1" t="s">
        <v>356</v>
      </c>
    </row>
    <row r="455" spans="1:2">
      <c r="A455" s="1" t="s">
        <v>359</v>
      </c>
      <c r="B455" s="1" t="s">
        <v>356</v>
      </c>
    </row>
    <row r="456" spans="1:2">
      <c r="A456" s="1" t="s">
        <v>360</v>
      </c>
      <c r="B456" s="1" t="s">
        <v>356</v>
      </c>
    </row>
    <row r="457" spans="1:2">
      <c r="A457" s="1" t="s">
        <v>361</v>
      </c>
      <c r="B457" s="1" t="s">
        <v>356</v>
      </c>
    </row>
    <row r="458" spans="1:2">
      <c r="A458" s="1" t="s">
        <v>362</v>
      </c>
      <c r="B458" s="1" t="s">
        <v>356</v>
      </c>
    </row>
    <row r="459" spans="1:2">
      <c r="A459" s="1" t="s">
        <v>363</v>
      </c>
      <c r="B459" s="1" t="s">
        <v>356</v>
      </c>
    </row>
    <row r="460" spans="1:2">
      <c r="A460" s="1" t="s">
        <v>364</v>
      </c>
      <c r="B460" s="1" t="s">
        <v>356</v>
      </c>
    </row>
    <row r="461" spans="1:2">
      <c r="A461" s="1" t="s">
        <v>365</v>
      </c>
      <c r="B461" s="1" t="s">
        <v>356</v>
      </c>
    </row>
    <row r="462" spans="1:2">
      <c r="A462" s="1" t="s">
        <v>366</v>
      </c>
      <c r="B462" s="1" t="s">
        <v>356</v>
      </c>
    </row>
    <row r="463" spans="1:2">
      <c r="A463" s="1" t="s">
        <v>367</v>
      </c>
      <c r="B463" s="1" t="s">
        <v>356</v>
      </c>
    </row>
    <row r="464" spans="1:2">
      <c r="A464" s="1" t="s">
        <v>368</v>
      </c>
      <c r="B464" s="1" t="s">
        <v>356</v>
      </c>
    </row>
    <row r="465" spans="1:2">
      <c r="A465" s="1" t="s">
        <v>369</v>
      </c>
      <c r="B465" s="1" t="s">
        <v>356</v>
      </c>
    </row>
    <row r="466" spans="1:2">
      <c r="A466" s="1" t="s">
        <v>370</v>
      </c>
      <c r="B466" s="1" t="s">
        <v>356</v>
      </c>
    </row>
    <row r="467" spans="1:2">
      <c r="A467" s="1" t="s">
        <v>371</v>
      </c>
      <c r="B467" s="1" t="s">
        <v>356</v>
      </c>
    </row>
    <row r="468" spans="1:2">
      <c r="A468" s="1" t="s">
        <v>372</v>
      </c>
      <c r="B468" s="1" t="s">
        <v>356</v>
      </c>
    </row>
    <row r="469" spans="1:2">
      <c r="A469" s="1" t="s">
        <v>373</v>
      </c>
      <c r="B469" s="1" t="s">
        <v>356</v>
      </c>
    </row>
    <row r="470" spans="1:2">
      <c r="A470" s="1" t="s">
        <v>374</v>
      </c>
      <c r="B470" s="1" t="s">
        <v>356</v>
      </c>
    </row>
    <row r="471" spans="1:2">
      <c r="A471" s="1" t="s">
        <v>375</v>
      </c>
      <c r="B471" s="1" t="s">
        <v>356</v>
      </c>
    </row>
    <row r="472" spans="1:2">
      <c r="A472" s="1" t="s">
        <v>376</v>
      </c>
      <c r="B472" s="1" t="s">
        <v>356</v>
      </c>
    </row>
    <row r="473" spans="1:2">
      <c r="A473" s="1" t="s">
        <v>377</v>
      </c>
      <c r="B473" s="1" t="s">
        <v>356</v>
      </c>
    </row>
    <row r="474" spans="1:2">
      <c r="A474" s="1" t="s">
        <v>378</v>
      </c>
      <c r="B474" s="1" t="s">
        <v>356</v>
      </c>
    </row>
    <row r="475" spans="1:2">
      <c r="A475" s="1" t="s">
        <v>379</v>
      </c>
      <c r="B475" s="1" t="s">
        <v>356</v>
      </c>
    </row>
    <row r="476" spans="1:2">
      <c r="A476" s="1" t="s">
        <v>380</v>
      </c>
      <c r="B476" s="1" t="s">
        <v>356</v>
      </c>
    </row>
    <row r="477" spans="1:2">
      <c r="A477" s="1" t="s">
        <v>381</v>
      </c>
      <c r="B477" s="1" t="s">
        <v>356</v>
      </c>
    </row>
    <row r="478" spans="1:2">
      <c r="A478" s="1" t="s">
        <v>382</v>
      </c>
      <c r="B478" s="1" t="s">
        <v>356</v>
      </c>
    </row>
    <row r="479" spans="1:2">
      <c r="A479" s="1" t="s">
        <v>383</v>
      </c>
      <c r="B479" s="1" t="s">
        <v>356</v>
      </c>
    </row>
    <row r="480" spans="1:2">
      <c r="A480" s="1" t="s">
        <v>384</v>
      </c>
      <c r="B480" s="1" t="s">
        <v>356</v>
      </c>
    </row>
    <row r="481" spans="1:2">
      <c r="A481" s="1" t="s">
        <v>385</v>
      </c>
      <c r="B481" s="1" t="s">
        <v>356</v>
      </c>
    </row>
    <row r="482" spans="1:2">
      <c r="A482" s="1" t="s">
        <v>386</v>
      </c>
      <c r="B482" s="1" t="s">
        <v>387</v>
      </c>
    </row>
    <row r="483" spans="1:2">
      <c r="A483" s="1" t="s">
        <v>388</v>
      </c>
      <c r="B483" s="1" t="s">
        <v>19</v>
      </c>
    </row>
    <row r="484" spans="1:2">
      <c r="A484" s="1" t="s">
        <v>389</v>
      </c>
      <c r="B484" s="1" t="s">
        <v>19</v>
      </c>
    </row>
    <row r="485" spans="1:2">
      <c r="A485" s="1" t="s">
        <v>390</v>
      </c>
      <c r="B485" s="1" t="s">
        <v>19</v>
      </c>
    </row>
    <row r="486" spans="1:2">
      <c r="A486" s="1" t="s">
        <v>391</v>
      </c>
      <c r="B486" s="1" t="s">
        <v>19</v>
      </c>
    </row>
    <row r="487" spans="1:2">
      <c r="A487" s="1" t="s">
        <v>392</v>
      </c>
      <c r="B487" s="1" t="s">
        <v>19</v>
      </c>
    </row>
    <row r="488" spans="1:2">
      <c r="A488" s="1" t="s">
        <v>393</v>
      </c>
      <c r="B488" s="1" t="s">
        <v>19</v>
      </c>
    </row>
    <row r="489" spans="1:2">
      <c r="A489" s="1" t="s">
        <v>394</v>
      </c>
      <c r="B489" s="1" t="s">
        <v>19</v>
      </c>
    </row>
    <row r="490" spans="1:2">
      <c r="A490" s="1" t="s">
        <v>395</v>
      </c>
      <c r="B490" s="1" t="s">
        <v>19</v>
      </c>
    </row>
    <row r="491" spans="1:2">
      <c r="A491" s="1" t="s">
        <v>396</v>
      </c>
      <c r="B491" s="1" t="s">
        <v>19</v>
      </c>
    </row>
    <row r="492" spans="1:2">
      <c r="A492" s="1" t="s">
        <v>144</v>
      </c>
      <c r="B492" s="1" t="s">
        <v>19</v>
      </c>
    </row>
    <row r="493" spans="1:2">
      <c r="A493" s="1" t="s">
        <v>145</v>
      </c>
      <c r="B493" s="1" t="s">
        <v>19</v>
      </c>
    </row>
    <row r="494" spans="1:2">
      <c r="A494" s="1" t="s">
        <v>146</v>
      </c>
      <c r="B494" s="1" t="s">
        <v>19</v>
      </c>
    </row>
    <row r="495" spans="1:2">
      <c r="A495" s="1" t="s">
        <v>147</v>
      </c>
      <c r="B495" s="1" t="s">
        <v>19</v>
      </c>
    </row>
    <row r="496" spans="1:2">
      <c r="A496" s="1" t="s">
        <v>148</v>
      </c>
      <c r="B496" s="1" t="s">
        <v>19</v>
      </c>
    </row>
    <row r="497" spans="1:2">
      <c r="A497" s="1" t="s">
        <v>149</v>
      </c>
      <c r="B497" s="1" t="s">
        <v>19</v>
      </c>
    </row>
    <row r="498" spans="1:2">
      <c r="A498" s="1" t="s">
        <v>150</v>
      </c>
      <c r="B498" s="1" t="s">
        <v>19</v>
      </c>
    </row>
    <row r="499" spans="1:2">
      <c r="A499" s="1" t="s">
        <v>151</v>
      </c>
      <c r="B499" s="1" t="s">
        <v>19</v>
      </c>
    </row>
    <row r="500" spans="1:2">
      <c r="A500" s="1" t="s">
        <v>152</v>
      </c>
      <c r="B500" s="1" t="s">
        <v>19</v>
      </c>
    </row>
    <row r="501" spans="1:2">
      <c r="A501" s="1" t="s">
        <v>153</v>
      </c>
      <c r="B501" s="1" t="s">
        <v>19</v>
      </c>
    </row>
    <row r="502" spans="1:2">
      <c r="A502" s="1" t="s">
        <v>154</v>
      </c>
      <c r="B502" s="1" t="s">
        <v>19</v>
      </c>
    </row>
    <row r="503" spans="1:2">
      <c r="A503" s="1" t="s">
        <v>155</v>
      </c>
      <c r="B503" s="1" t="s">
        <v>20</v>
      </c>
    </row>
    <row r="504" spans="1:2">
      <c r="A504" s="1" t="s">
        <v>156</v>
      </c>
      <c r="B504" s="1" t="s">
        <v>20</v>
      </c>
    </row>
    <row r="505" spans="1:2">
      <c r="A505" s="1" t="s">
        <v>157</v>
      </c>
      <c r="B505" s="1" t="s">
        <v>20</v>
      </c>
    </row>
    <row r="506" spans="1:2">
      <c r="A506" s="1" t="s">
        <v>158</v>
      </c>
      <c r="B506" s="1" t="s">
        <v>20</v>
      </c>
    </row>
    <row r="507" spans="1:2">
      <c r="A507" s="1" t="s">
        <v>159</v>
      </c>
      <c r="B507" s="1" t="s">
        <v>20</v>
      </c>
    </row>
    <row r="508" spans="1:2">
      <c r="A508" s="1" t="s">
        <v>160</v>
      </c>
      <c r="B508" s="1" t="s">
        <v>20</v>
      </c>
    </row>
    <row r="509" spans="1:2">
      <c r="A509" s="1" t="s">
        <v>161</v>
      </c>
      <c r="B509" s="1" t="s">
        <v>20</v>
      </c>
    </row>
    <row r="510" spans="1:2">
      <c r="A510" s="1" t="s">
        <v>162</v>
      </c>
      <c r="B510" s="1" t="s">
        <v>20</v>
      </c>
    </row>
    <row r="511" spans="1:2">
      <c r="A511" s="1" t="s">
        <v>163</v>
      </c>
      <c r="B511" s="1" t="s">
        <v>20</v>
      </c>
    </row>
    <row r="512" spans="1:2">
      <c r="A512" s="1" t="s">
        <v>164</v>
      </c>
      <c r="B512" s="1" t="s">
        <v>20</v>
      </c>
    </row>
    <row r="513" spans="1:2">
      <c r="A513" s="1" t="s">
        <v>165</v>
      </c>
      <c r="B513" s="1" t="s">
        <v>20</v>
      </c>
    </row>
    <row r="514" spans="1:2">
      <c r="A514" s="1" t="s">
        <v>166</v>
      </c>
      <c r="B514" s="1" t="s">
        <v>20</v>
      </c>
    </row>
    <row r="515" spans="1:2">
      <c r="A515" s="1" t="s">
        <v>167</v>
      </c>
      <c r="B515" s="1" t="s">
        <v>20</v>
      </c>
    </row>
    <row r="516" spans="1:2">
      <c r="A516" s="1" t="s">
        <v>168</v>
      </c>
      <c r="B516" s="1" t="s">
        <v>20</v>
      </c>
    </row>
    <row r="517" spans="1:2">
      <c r="A517" s="1" t="s">
        <v>169</v>
      </c>
      <c r="B517" s="1" t="s">
        <v>20</v>
      </c>
    </row>
    <row r="518" spans="1:2">
      <c r="A518" s="1" t="s">
        <v>170</v>
      </c>
      <c r="B518" s="1" t="s">
        <v>20</v>
      </c>
    </row>
    <row r="519" spans="1:2">
      <c r="A519" s="1" t="s">
        <v>171</v>
      </c>
      <c r="B519" s="1" t="s">
        <v>20</v>
      </c>
    </row>
    <row r="520" spans="1:2">
      <c r="A520" s="1" t="s">
        <v>172</v>
      </c>
      <c r="B520" s="1" t="s">
        <v>20</v>
      </c>
    </row>
    <row r="521" spans="1:2">
      <c r="A521" s="1" t="s">
        <v>173</v>
      </c>
      <c r="B521" s="1" t="s">
        <v>20</v>
      </c>
    </row>
    <row r="522" spans="1:2">
      <c r="A522" s="1" t="s">
        <v>174</v>
      </c>
      <c r="B522" s="1" t="s">
        <v>20</v>
      </c>
    </row>
    <row r="523" spans="1:2">
      <c r="A523" s="1" t="s">
        <v>175</v>
      </c>
      <c r="B523" s="1" t="s">
        <v>20</v>
      </c>
    </row>
    <row r="524" spans="1:2">
      <c r="A524" s="1" t="s">
        <v>176</v>
      </c>
      <c r="B524" s="1" t="s">
        <v>20</v>
      </c>
    </row>
    <row r="525" spans="1:2">
      <c r="A525" s="1" t="s">
        <v>177</v>
      </c>
      <c r="B525" s="1" t="s">
        <v>20</v>
      </c>
    </row>
    <row r="526" spans="1:2">
      <c r="A526" s="1" t="s">
        <v>178</v>
      </c>
      <c r="B526" s="1" t="s">
        <v>20</v>
      </c>
    </row>
    <row r="527" spans="1:2">
      <c r="A527" s="1" t="s">
        <v>179</v>
      </c>
      <c r="B527" s="1" t="s">
        <v>20</v>
      </c>
    </row>
    <row r="528" spans="1:2">
      <c r="A528" s="1" t="s">
        <v>180</v>
      </c>
      <c r="B528" s="1" t="s">
        <v>20</v>
      </c>
    </row>
    <row r="529" spans="1:2">
      <c r="A529" s="1" t="s">
        <v>181</v>
      </c>
      <c r="B529" s="1" t="s">
        <v>20</v>
      </c>
    </row>
    <row r="530" spans="1:2">
      <c r="A530" s="1" t="s">
        <v>182</v>
      </c>
      <c r="B530" s="1" t="s">
        <v>20</v>
      </c>
    </row>
    <row r="531" spans="1:2">
      <c r="A531" s="1" t="s">
        <v>183</v>
      </c>
      <c r="B531" s="1" t="s">
        <v>20</v>
      </c>
    </row>
    <row r="532" spans="1:2">
      <c r="A532" s="1" t="s">
        <v>184</v>
      </c>
      <c r="B532" s="1" t="s">
        <v>20</v>
      </c>
    </row>
    <row r="533" spans="1:2">
      <c r="A533" s="1" t="s">
        <v>185</v>
      </c>
      <c r="B533" s="1" t="s">
        <v>20</v>
      </c>
    </row>
    <row r="534" spans="1:2">
      <c r="A534" s="1" t="s">
        <v>186</v>
      </c>
      <c r="B534" s="1" t="s">
        <v>20</v>
      </c>
    </row>
    <row r="535" spans="1:2">
      <c r="A535" s="1" t="s">
        <v>187</v>
      </c>
      <c r="B535" s="1" t="s">
        <v>20</v>
      </c>
    </row>
    <row r="536" spans="1:2">
      <c r="A536" s="1" t="s">
        <v>188</v>
      </c>
      <c r="B536" s="1" t="s">
        <v>21</v>
      </c>
    </row>
    <row r="537" spans="1:2">
      <c r="A537" s="1" t="s">
        <v>189</v>
      </c>
      <c r="B537" s="1" t="s">
        <v>21</v>
      </c>
    </row>
    <row r="538" spans="1:2">
      <c r="A538" s="1" t="s">
        <v>190</v>
      </c>
      <c r="B538" s="1" t="s">
        <v>21</v>
      </c>
    </row>
    <row r="539" spans="1:2">
      <c r="A539" s="1" t="s">
        <v>191</v>
      </c>
      <c r="B539" s="1" t="s">
        <v>21</v>
      </c>
    </row>
    <row r="540" spans="1:2">
      <c r="A540" s="1" t="s">
        <v>192</v>
      </c>
      <c r="B540" s="1" t="s">
        <v>193</v>
      </c>
    </row>
    <row r="541" spans="1:2">
      <c r="A541" s="1" t="s">
        <v>194</v>
      </c>
      <c r="B541" s="1" t="s">
        <v>193</v>
      </c>
    </row>
    <row r="542" spans="1:2">
      <c r="A542" s="1" t="s">
        <v>195</v>
      </c>
      <c r="B542" s="1" t="s">
        <v>193</v>
      </c>
    </row>
    <row r="543" spans="1:2">
      <c r="A543" s="1" t="s">
        <v>196</v>
      </c>
      <c r="B543" s="1" t="s">
        <v>193</v>
      </c>
    </row>
    <row r="544" spans="1:2">
      <c r="A544" s="1" t="s">
        <v>197</v>
      </c>
      <c r="B544" s="1" t="s">
        <v>193</v>
      </c>
    </row>
    <row r="545" spans="1:2">
      <c r="A545" s="1" t="s">
        <v>198</v>
      </c>
      <c r="B545" s="1" t="s">
        <v>193</v>
      </c>
    </row>
    <row r="546" spans="1:2">
      <c r="A546" s="1" t="s">
        <v>199</v>
      </c>
      <c r="B546" s="1" t="s">
        <v>193</v>
      </c>
    </row>
    <row r="547" spans="1:2">
      <c r="A547" s="1" t="s">
        <v>200</v>
      </c>
      <c r="B547" s="1" t="s">
        <v>193</v>
      </c>
    </row>
    <row r="548" spans="1:2">
      <c r="A548" s="1" t="s">
        <v>201</v>
      </c>
      <c r="B548" s="1" t="s">
        <v>193</v>
      </c>
    </row>
    <row r="549" spans="1:2">
      <c r="A549" s="1" t="s">
        <v>202</v>
      </c>
      <c r="B549" s="1" t="s">
        <v>193</v>
      </c>
    </row>
    <row r="550" spans="1:2">
      <c r="A550" s="1" t="s">
        <v>203</v>
      </c>
      <c r="B550" s="1" t="s">
        <v>193</v>
      </c>
    </row>
    <row r="551" spans="1:2">
      <c r="A551" s="1" t="s">
        <v>204</v>
      </c>
      <c r="B551" s="1" t="s">
        <v>193</v>
      </c>
    </row>
    <row r="552" spans="1:2">
      <c r="A552" s="1" t="s">
        <v>205</v>
      </c>
      <c r="B552" s="1" t="s">
        <v>193</v>
      </c>
    </row>
    <row r="553" spans="1:2">
      <c r="A553" s="1" t="s">
        <v>206</v>
      </c>
      <c r="B553" s="1" t="s">
        <v>193</v>
      </c>
    </row>
    <row r="554" spans="1:2">
      <c r="A554" s="1" t="s">
        <v>207</v>
      </c>
      <c r="B554" s="1" t="s">
        <v>193</v>
      </c>
    </row>
    <row r="555" spans="1:2">
      <c r="A555" s="1" t="s">
        <v>208</v>
      </c>
      <c r="B555" s="1" t="s">
        <v>193</v>
      </c>
    </row>
    <row r="556" spans="1:2">
      <c r="A556" s="1" t="s">
        <v>209</v>
      </c>
      <c r="B556" s="1" t="s">
        <v>193</v>
      </c>
    </row>
    <row r="557" spans="1:2">
      <c r="A557" s="1" t="s">
        <v>210</v>
      </c>
      <c r="B557" s="1" t="s">
        <v>193</v>
      </c>
    </row>
    <row r="558" spans="1:2">
      <c r="A558" s="1" t="s">
        <v>211</v>
      </c>
      <c r="B558" s="1" t="s">
        <v>193</v>
      </c>
    </row>
    <row r="559" spans="1:2">
      <c r="A559" s="1" t="s">
        <v>212</v>
      </c>
      <c r="B559" s="1" t="s">
        <v>193</v>
      </c>
    </row>
    <row r="560" spans="1:2">
      <c r="A560" s="1" t="s">
        <v>213</v>
      </c>
      <c r="B560" s="1" t="s">
        <v>193</v>
      </c>
    </row>
    <row r="561" spans="1:2">
      <c r="A561" s="1" t="s">
        <v>214</v>
      </c>
      <c r="B561" s="1" t="s">
        <v>193</v>
      </c>
    </row>
    <row r="562" spans="1:2">
      <c r="A562" s="1" t="s">
        <v>215</v>
      </c>
      <c r="B562" s="1" t="s">
        <v>193</v>
      </c>
    </row>
    <row r="563" spans="1:2">
      <c r="A563" s="1" t="s">
        <v>216</v>
      </c>
      <c r="B563" s="1" t="s">
        <v>193</v>
      </c>
    </row>
    <row r="564" spans="1:2">
      <c r="A564" s="1" t="s">
        <v>217</v>
      </c>
      <c r="B564" s="1" t="s">
        <v>193</v>
      </c>
    </row>
    <row r="565" spans="1:2">
      <c r="A565" s="1" t="s">
        <v>218</v>
      </c>
      <c r="B565" s="1" t="s">
        <v>193</v>
      </c>
    </row>
    <row r="566" spans="1:2">
      <c r="A566" s="1" t="s">
        <v>219</v>
      </c>
      <c r="B566" s="1" t="s">
        <v>193</v>
      </c>
    </row>
    <row r="567" spans="1:2">
      <c r="A567" s="1" t="s">
        <v>220</v>
      </c>
      <c r="B567" s="1" t="s">
        <v>193</v>
      </c>
    </row>
    <row r="568" spans="1:2">
      <c r="A568" s="1" t="s">
        <v>221</v>
      </c>
      <c r="B568" s="1" t="s">
        <v>193</v>
      </c>
    </row>
    <row r="569" spans="1:2">
      <c r="A569" s="1" t="s">
        <v>222</v>
      </c>
      <c r="B569" s="1" t="s">
        <v>193</v>
      </c>
    </row>
    <row r="570" spans="1:2">
      <c r="A570" s="1" t="s">
        <v>223</v>
      </c>
      <c r="B570" s="1" t="s">
        <v>193</v>
      </c>
    </row>
    <row r="571" spans="1:2">
      <c r="A571" s="1" t="s">
        <v>224</v>
      </c>
      <c r="B571" s="1" t="s">
        <v>193</v>
      </c>
    </row>
    <row r="572" spans="1:2">
      <c r="A572" s="1" t="s">
        <v>225</v>
      </c>
      <c r="B572" s="1" t="s">
        <v>193</v>
      </c>
    </row>
    <row r="573" spans="1:2">
      <c r="A573" s="1" t="s">
        <v>226</v>
      </c>
      <c r="B573" s="1" t="s">
        <v>193</v>
      </c>
    </row>
    <row r="574" spans="1:2">
      <c r="A574" s="1" t="s">
        <v>227</v>
      </c>
      <c r="B574" s="1" t="s">
        <v>193</v>
      </c>
    </row>
    <row r="575" spans="1:2">
      <c r="A575" s="1" t="s">
        <v>228</v>
      </c>
      <c r="B575" s="1" t="s">
        <v>193</v>
      </c>
    </row>
    <row r="576" spans="1:2">
      <c r="A576" s="1" t="s">
        <v>229</v>
      </c>
      <c r="B576" s="1" t="s">
        <v>193</v>
      </c>
    </row>
    <row r="577" spans="1:2">
      <c r="A577" s="1" t="s">
        <v>230</v>
      </c>
      <c r="B577" s="1" t="s">
        <v>193</v>
      </c>
    </row>
    <row r="578" spans="1:2">
      <c r="A578" s="1" t="s">
        <v>231</v>
      </c>
      <c r="B578" s="1" t="s">
        <v>193</v>
      </c>
    </row>
    <row r="579" spans="1:2">
      <c r="A579" s="1" t="s">
        <v>232</v>
      </c>
      <c r="B579" s="1" t="s">
        <v>193</v>
      </c>
    </row>
    <row r="580" spans="1:2">
      <c r="A580" s="1" t="s">
        <v>233</v>
      </c>
      <c r="B580" s="1" t="s">
        <v>193</v>
      </c>
    </row>
    <row r="581" spans="1:2">
      <c r="A581" s="1" t="s">
        <v>234</v>
      </c>
      <c r="B581" s="1" t="s">
        <v>193</v>
      </c>
    </row>
    <row r="582" spans="1:2">
      <c r="A582" s="1" t="s">
        <v>235</v>
      </c>
      <c r="B582" s="1" t="s">
        <v>193</v>
      </c>
    </row>
    <row r="583" spans="1:2">
      <c r="A583" s="1" t="s">
        <v>236</v>
      </c>
      <c r="B583" s="1" t="s">
        <v>237</v>
      </c>
    </row>
    <row r="584" spans="1:2">
      <c r="A584" s="1" t="s">
        <v>238</v>
      </c>
      <c r="B584" s="1" t="s">
        <v>237</v>
      </c>
    </row>
    <row r="585" spans="1:2">
      <c r="A585" s="1" t="s">
        <v>239</v>
      </c>
      <c r="B585" s="1" t="s">
        <v>237</v>
      </c>
    </row>
    <row r="586" spans="1:2">
      <c r="A586" s="1" t="s">
        <v>240</v>
      </c>
      <c r="B586" s="1" t="s">
        <v>237</v>
      </c>
    </row>
    <row r="587" spans="1:2">
      <c r="A587" s="1" t="s">
        <v>241</v>
      </c>
      <c r="B587" s="1" t="s">
        <v>22</v>
      </c>
    </row>
    <row r="588" spans="1:2">
      <c r="A588" s="1" t="s">
        <v>242</v>
      </c>
      <c r="B588" s="1" t="s">
        <v>22</v>
      </c>
    </row>
    <row r="589" spans="1:2">
      <c r="A589" s="1" t="s">
        <v>243</v>
      </c>
      <c r="B589" s="1" t="s">
        <v>22</v>
      </c>
    </row>
    <row r="590" spans="1:2">
      <c r="A590" s="1" t="s">
        <v>244</v>
      </c>
      <c r="B590" s="1" t="s">
        <v>22</v>
      </c>
    </row>
    <row r="591" spans="1:2">
      <c r="A591" s="1" t="s">
        <v>245</v>
      </c>
      <c r="B591" s="1" t="s">
        <v>22</v>
      </c>
    </row>
    <row r="592" spans="1:2">
      <c r="A592" s="1" t="s">
        <v>246</v>
      </c>
      <c r="B592" s="1" t="s">
        <v>22</v>
      </c>
    </row>
    <row r="593" spans="1:2">
      <c r="A593" s="1" t="s">
        <v>247</v>
      </c>
      <c r="B593" s="1" t="s">
        <v>22</v>
      </c>
    </row>
    <row r="594" spans="1:2">
      <c r="A594" s="1" t="s">
        <v>248</v>
      </c>
      <c r="B594" s="1" t="s">
        <v>22</v>
      </c>
    </row>
    <row r="595" spans="1:2">
      <c r="A595" s="1" t="s">
        <v>249</v>
      </c>
      <c r="B595" s="1" t="s">
        <v>22</v>
      </c>
    </row>
    <row r="596" spans="1:2">
      <c r="A596" s="1" t="s">
        <v>250</v>
      </c>
      <c r="B596" s="1" t="s">
        <v>22</v>
      </c>
    </row>
    <row r="597" spans="1:2">
      <c r="A597" s="1" t="s">
        <v>251</v>
      </c>
      <c r="B597" s="1" t="s">
        <v>22</v>
      </c>
    </row>
    <row r="598" spans="1:2">
      <c r="A598" s="1" t="s">
        <v>252</v>
      </c>
      <c r="B598" s="1" t="s">
        <v>22</v>
      </c>
    </row>
    <row r="599" spans="1:2">
      <c r="A599" s="1" t="s">
        <v>253</v>
      </c>
      <c r="B599" s="1" t="s">
        <v>22</v>
      </c>
    </row>
    <row r="600" spans="1:2">
      <c r="A600" s="1" t="s">
        <v>254</v>
      </c>
      <c r="B600" s="1" t="s">
        <v>22</v>
      </c>
    </row>
    <row r="601" spans="1:2">
      <c r="A601" s="1" t="s">
        <v>255</v>
      </c>
      <c r="B601" s="1" t="s">
        <v>22</v>
      </c>
    </row>
    <row r="602" spans="1:2">
      <c r="A602" s="1" t="s">
        <v>256</v>
      </c>
      <c r="B602" s="1" t="s">
        <v>22</v>
      </c>
    </row>
    <row r="603" spans="1:2">
      <c r="A603" s="1" t="s">
        <v>257</v>
      </c>
      <c r="B603" s="1" t="s">
        <v>22</v>
      </c>
    </row>
    <row r="604" spans="1:2">
      <c r="A604" s="1" t="s">
        <v>258</v>
      </c>
      <c r="B604" s="1" t="s">
        <v>22</v>
      </c>
    </row>
    <row r="605" spans="1:2">
      <c r="A605" s="1" t="s">
        <v>259</v>
      </c>
      <c r="B605" s="1" t="s">
        <v>22</v>
      </c>
    </row>
    <row r="606" spans="1:2">
      <c r="A606" s="1" t="s">
        <v>260</v>
      </c>
      <c r="B606" s="1" t="s">
        <v>22</v>
      </c>
    </row>
    <row r="607" spans="1:2">
      <c r="A607" s="1" t="s">
        <v>261</v>
      </c>
      <c r="B607" s="1" t="s">
        <v>22</v>
      </c>
    </row>
    <row r="608" spans="1:2">
      <c r="A608" s="1" t="s">
        <v>262</v>
      </c>
      <c r="B608" s="1" t="s">
        <v>22</v>
      </c>
    </row>
    <row r="609" spans="1:2">
      <c r="A609" s="1" t="s">
        <v>263</v>
      </c>
      <c r="B609" s="1" t="s">
        <v>22</v>
      </c>
    </row>
    <row r="610" spans="1:2">
      <c r="A610" s="1" t="s">
        <v>264</v>
      </c>
      <c r="B610" s="1" t="s">
        <v>22</v>
      </c>
    </row>
    <row r="611" spans="1:2">
      <c r="A611" s="1" t="s">
        <v>265</v>
      </c>
      <c r="B611" s="1" t="s">
        <v>22</v>
      </c>
    </row>
    <row r="612" spans="1:2">
      <c r="A612" s="1" t="s">
        <v>266</v>
      </c>
      <c r="B612" s="1" t="s">
        <v>22</v>
      </c>
    </row>
    <row r="613" spans="1:2">
      <c r="A613" s="1" t="s">
        <v>267</v>
      </c>
      <c r="B613" s="1" t="s">
        <v>22</v>
      </c>
    </row>
    <row r="614" spans="1:2">
      <c r="A614" s="1" t="s">
        <v>268</v>
      </c>
      <c r="B614" s="1" t="s">
        <v>22</v>
      </c>
    </row>
    <row r="615" spans="1:2">
      <c r="A615" s="1" t="s">
        <v>269</v>
      </c>
      <c r="B615" s="1" t="s">
        <v>22</v>
      </c>
    </row>
    <row r="616" spans="1:2">
      <c r="A616" s="1" t="s">
        <v>270</v>
      </c>
      <c r="B616" s="1" t="s">
        <v>22</v>
      </c>
    </row>
    <row r="617" spans="1:2">
      <c r="A617" s="1" t="s">
        <v>271</v>
      </c>
      <c r="B617" s="1" t="s">
        <v>22</v>
      </c>
    </row>
    <row r="618" spans="1:2">
      <c r="A618" s="1" t="s">
        <v>272</v>
      </c>
      <c r="B618" s="1" t="s">
        <v>22</v>
      </c>
    </row>
    <row r="619" spans="1:2">
      <c r="A619" s="1" t="s">
        <v>273</v>
      </c>
      <c r="B619" s="1" t="s">
        <v>22</v>
      </c>
    </row>
    <row r="620" spans="1:2">
      <c r="A620" s="1" t="s">
        <v>274</v>
      </c>
      <c r="B620" s="1" t="s">
        <v>22</v>
      </c>
    </row>
    <row r="621" spans="1:2">
      <c r="A621" s="1" t="s">
        <v>275</v>
      </c>
      <c r="B621" s="1" t="s">
        <v>22</v>
      </c>
    </row>
    <row r="622" spans="1:2">
      <c r="A622" s="1" t="s">
        <v>276</v>
      </c>
      <c r="B622" s="1" t="s">
        <v>22</v>
      </c>
    </row>
    <row r="623" spans="1:2">
      <c r="A623" s="1" t="s">
        <v>277</v>
      </c>
      <c r="B623" s="1" t="s">
        <v>22</v>
      </c>
    </row>
    <row r="624" spans="1:2">
      <c r="A624" s="1" t="s">
        <v>278</v>
      </c>
      <c r="B624" s="1" t="s">
        <v>22</v>
      </c>
    </row>
    <row r="625" spans="1:2">
      <c r="A625" s="1" t="s">
        <v>279</v>
      </c>
      <c r="B625" s="1" t="s">
        <v>22</v>
      </c>
    </row>
    <row r="626" spans="1:2">
      <c r="A626" s="1" t="s">
        <v>280</v>
      </c>
      <c r="B626" s="1" t="s">
        <v>22</v>
      </c>
    </row>
    <row r="627" spans="1:2">
      <c r="A627" s="1" t="s">
        <v>281</v>
      </c>
      <c r="B627" s="1" t="s">
        <v>22</v>
      </c>
    </row>
    <row r="628" spans="1:2">
      <c r="A628" s="1" t="s">
        <v>282</v>
      </c>
      <c r="B628" s="1" t="s">
        <v>22</v>
      </c>
    </row>
    <row r="629" spans="1:2">
      <c r="A629" s="1" t="s">
        <v>283</v>
      </c>
      <c r="B629" s="1" t="s">
        <v>22</v>
      </c>
    </row>
    <row r="630" spans="1:2">
      <c r="A630" s="1" t="s">
        <v>284</v>
      </c>
      <c r="B630" s="1" t="s">
        <v>22</v>
      </c>
    </row>
    <row r="631" spans="1:2">
      <c r="A631" s="1" t="s">
        <v>285</v>
      </c>
      <c r="B631" s="1" t="s">
        <v>22</v>
      </c>
    </row>
    <row r="632" spans="1:2">
      <c r="A632" s="1" t="s">
        <v>286</v>
      </c>
      <c r="B632" s="1" t="s">
        <v>22</v>
      </c>
    </row>
    <row r="633" spans="1:2">
      <c r="A633" s="1" t="s">
        <v>287</v>
      </c>
      <c r="B633" s="1" t="s">
        <v>22</v>
      </c>
    </row>
    <row r="634" spans="1:2">
      <c r="A634" s="1" t="s">
        <v>288</v>
      </c>
      <c r="B634" s="1" t="s">
        <v>22</v>
      </c>
    </row>
    <row r="635" spans="1:2">
      <c r="A635" s="1" t="s">
        <v>289</v>
      </c>
      <c r="B635" s="1" t="s">
        <v>22</v>
      </c>
    </row>
    <row r="636" spans="1:2">
      <c r="A636" s="1" t="s">
        <v>290</v>
      </c>
      <c r="B636" s="1" t="s">
        <v>22</v>
      </c>
    </row>
    <row r="637" spans="1:2">
      <c r="A637" s="1" t="s">
        <v>291</v>
      </c>
      <c r="B637" s="1" t="s">
        <v>22</v>
      </c>
    </row>
    <row r="638" spans="1:2">
      <c r="A638" s="1" t="s">
        <v>292</v>
      </c>
      <c r="B638" s="1" t="s">
        <v>22</v>
      </c>
    </row>
    <row r="639" spans="1:2">
      <c r="A639" s="1" t="s">
        <v>293</v>
      </c>
      <c r="B639" s="1" t="s">
        <v>22</v>
      </c>
    </row>
    <row r="640" spans="1:2">
      <c r="A640" s="1" t="s">
        <v>294</v>
      </c>
      <c r="B640" s="1" t="s">
        <v>22</v>
      </c>
    </row>
    <row r="641" spans="1:2">
      <c r="A641" s="1" t="s">
        <v>295</v>
      </c>
      <c r="B641" s="1" t="s">
        <v>22</v>
      </c>
    </row>
    <row r="642" spans="1:2">
      <c r="A642" s="1" t="s">
        <v>296</v>
      </c>
      <c r="B642" s="1" t="s">
        <v>22</v>
      </c>
    </row>
    <row r="643" spans="1:2">
      <c r="A643" s="1" t="s">
        <v>181</v>
      </c>
      <c r="B643" s="1" t="s">
        <v>22</v>
      </c>
    </row>
    <row r="644" spans="1:2">
      <c r="A644" s="1" t="s">
        <v>297</v>
      </c>
      <c r="B644" s="1" t="s">
        <v>22</v>
      </c>
    </row>
    <row r="645" spans="1:2">
      <c r="A645" s="1" t="s">
        <v>298</v>
      </c>
      <c r="B645" s="1" t="s">
        <v>22</v>
      </c>
    </row>
    <row r="646" spans="1:2">
      <c r="A646" s="1" t="s">
        <v>299</v>
      </c>
      <c r="B646" s="1" t="s">
        <v>22</v>
      </c>
    </row>
    <row r="647" spans="1:2">
      <c r="A647" s="1" t="s">
        <v>300</v>
      </c>
      <c r="B647" s="1" t="s">
        <v>22</v>
      </c>
    </row>
    <row r="648" spans="1:2">
      <c r="A648" s="1" t="s">
        <v>301</v>
      </c>
      <c r="B648" s="1" t="s">
        <v>22</v>
      </c>
    </row>
    <row r="649" spans="1:2">
      <c r="A649" s="1" t="s">
        <v>302</v>
      </c>
      <c r="B649" s="1" t="s">
        <v>22</v>
      </c>
    </row>
    <row r="650" spans="1:2">
      <c r="A650" s="1" t="s">
        <v>303</v>
      </c>
      <c r="B650" s="1" t="s">
        <v>22</v>
      </c>
    </row>
    <row r="651" spans="1:2">
      <c r="A651" s="1" t="s">
        <v>304</v>
      </c>
      <c r="B651" s="1" t="s">
        <v>22</v>
      </c>
    </row>
    <row r="652" spans="1:2">
      <c r="A652" s="1" t="s">
        <v>305</v>
      </c>
      <c r="B652" s="1" t="s">
        <v>22</v>
      </c>
    </row>
    <row r="653" spans="1:2">
      <c r="A653" s="1" t="s">
        <v>306</v>
      </c>
      <c r="B653" s="1" t="s">
        <v>22</v>
      </c>
    </row>
    <row r="654" spans="1:2">
      <c r="A654" s="1" t="s">
        <v>307</v>
      </c>
      <c r="B654" s="1" t="s">
        <v>22</v>
      </c>
    </row>
    <row r="655" spans="1:2">
      <c r="A655" s="1" t="s">
        <v>308</v>
      </c>
      <c r="B655" s="1" t="s">
        <v>22</v>
      </c>
    </row>
    <row r="656" spans="1:2">
      <c r="A656" s="1" t="s">
        <v>309</v>
      </c>
      <c r="B656" s="1" t="s">
        <v>22</v>
      </c>
    </row>
    <row r="657" spans="1:2">
      <c r="A657" s="1" t="s">
        <v>310</v>
      </c>
      <c r="B657" s="1" t="s">
        <v>311</v>
      </c>
    </row>
    <row r="658" spans="1:2">
      <c r="A658" s="1" t="s">
        <v>312</v>
      </c>
      <c r="B658" s="1" t="s">
        <v>311</v>
      </c>
    </row>
    <row r="659" spans="1:2">
      <c r="A659" s="1" t="s">
        <v>313</v>
      </c>
      <c r="B659" s="1" t="s">
        <v>311</v>
      </c>
    </row>
    <row r="660" spans="1:2">
      <c r="A660" s="1" t="s">
        <v>314</v>
      </c>
      <c r="B660" s="1" t="s">
        <v>311</v>
      </c>
    </row>
    <row r="661" spans="1:2">
      <c r="A661" s="1" t="s">
        <v>315</v>
      </c>
      <c r="B661" s="1" t="s">
        <v>311</v>
      </c>
    </row>
    <row r="662" spans="1:2">
      <c r="A662" s="1" t="s">
        <v>316</v>
      </c>
      <c r="B662" s="1" t="s">
        <v>311</v>
      </c>
    </row>
    <row r="663" spans="1:2">
      <c r="A663" s="1" t="s">
        <v>317</v>
      </c>
      <c r="B663" s="1" t="s">
        <v>311</v>
      </c>
    </row>
    <row r="664" spans="1:2">
      <c r="A664" s="1" t="s">
        <v>318</v>
      </c>
      <c r="B664" s="1" t="s">
        <v>311</v>
      </c>
    </row>
    <row r="665" spans="1:2">
      <c r="A665" s="1" t="s">
        <v>319</v>
      </c>
      <c r="B665" s="1" t="s">
        <v>311</v>
      </c>
    </row>
    <row r="666" spans="1:2">
      <c r="A666" s="1" t="s">
        <v>320</v>
      </c>
      <c r="B666" s="1" t="s">
        <v>311</v>
      </c>
    </row>
    <row r="667" spans="1:2">
      <c r="A667" s="1" t="s">
        <v>321</v>
      </c>
      <c r="B667" s="1" t="s">
        <v>311</v>
      </c>
    </row>
    <row r="668" spans="1:2">
      <c r="A668" s="1" t="s">
        <v>322</v>
      </c>
      <c r="B668" s="1" t="s">
        <v>311</v>
      </c>
    </row>
    <row r="669" spans="1:2">
      <c r="A669" s="1" t="s">
        <v>323</v>
      </c>
      <c r="B669" s="1" t="s">
        <v>311</v>
      </c>
    </row>
    <row r="670" spans="1:2">
      <c r="A670" s="1" t="s">
        <v>324</v>
      </c>
      <c r="B670" s="1" t="s">
        <v>325</v>
      </c>
    </row>
    <row r="671" spans="1:2">
      <c r="A671" s="1" t="s">
        <v>326</v>
      </c>
      <c r="B671" s="1" t="s">
        <v>325</v>
      </c>
    </row>
    <row r="672" spans="1:2">
      <c r="A672" s="1" t="s">
        <v>327</v>
      </c>
      <c r="B672" s="1" t="s">
        <v>325</v>
      </c>
    </row>
    <row r="673" spans="1:2">
      <c r="A673" s="1" t="s">
        <v>328</v>
      </c>
      <c r="B673" s="1" t="s">
        <v>325</v>
      </c>
    </row>
    <row r="674" spans="1:2">
      <c r="A674" s="1" t="s">
        <v>329</v>
      </c>
      <c r="B674" s="1" t="s">
        <v>325</v>
      </c>
    </row>
    <row r="675" spans="1:2">
      <c r="A675" s="1" t="s">
        <v>330</v>
      </c>
      <c r="B675" s="1" t="s">
        <v>325</v>
      </c>
    </row>
    <row r="676" spans="1:2">
      <c r="A676" s="1" t="s">
        <v>331</v>
      </c>
      <c r="B676" s="1" t="s">
        <v>325</v>
      </c>
    </row>
    <row r="677" spans="1:2">
      <c r="A677" s="1" t="s">
        <v>332</v>
      </c>
      <c r="B677" s="1" t="s">
        <v>325</v>
      </c>
    </row>
    <row r="678" spans="1:2">
      <c r="A678" s="1"/>
      <c r="B678" s="1" t="s">
        <v>87</v>
      </c>
    </row>
  </sheetData>
  <dataValidations disablePrompts="1" count="1">
    <dataValidation type="list" allowBlank="1" showInputMessage="1" showErrorMessage="1" sqref="J12" xr:uid="{423A2BF0-C16E-4A61-8F03-F61647A4B398}">
      <formula1>$I$8:$I$50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B1347-052B-4803-9771-B9560F3903D4}">
  <sheetPr codeName="Sheet4"/>
  <dimension ref="B2:L6"/>
  <sheetViews>
    <sheetView workbookViewId="0">
      <selection activeCell="C6" sqref="C6:L6"/>
    </sheetView>
  </sheetViews>
  <sheetFormatPr defaultRowHeight="13.8"/>
  <cols>
    <col min="2" max="3" width="12.59765625" customWidth="1"/>
    <col min="4" max="4" width="12.19921875" customWidth="1"/>
    <col min="5" max="5" width="11.296875" customWidth="1"/>
    <col min="6" max="6" width="10.3984375" customWidth="1"/>
    <col min="7" max="7" width="14.69921875" customWidth="1"/>
    <col min="8" max="9" width="15.19921875" customWidth="1"/>
    <col min="10" max="10" width="7.19921875" customWidth="1"/>
    <col min="11" max="12" width="9.3984375" customWidth="1"/>
  </cols>
  <sheetData>
    <row r="2" spans="2:12" ht="15">
      <c r="B2" s="3"/>
      <c r="C2" s="3"/>
      <c r="D2" s="3"/>
      <c r="E2" s="3"/>
      <c r="F2" s="3"/>
      <c r="G2" s="3"/>
      <c r="H2" s="3"/>
      <c r="I2" s="3"/>
      <c r="J2" s="3"/>
      <c r="K2" s="3"/>
    </row>
    <row r="3" spans="2:12" ht="15">
      <c r="C3" s="3" t="s">
        <v>665</v>
      </c>
      <c r="D3" s="3" t="s">
        <v>666</v>
      </c>
      <c r="E3" s="3" t="s">
        <v>667</v>
      </c>
      <c r="F3" s="3" t="s">
        <v>668</v>
      </c>
      <c r="G3" s="3" t="s">
        <v>669</v>
      </c>
      <c r="H3" s="3" t="s">
        <v>670</v>
      </c>
      <c r="I3" s="3" t="s">
        <v>671</v>
      </c>
      <c r="J3" s="3" t="s">
        <v>650</v>
      </c>
      <c r="K3" s="3" t="s">
        <v>651</v>
      </c>
      <c r="L3" s="3" t="s">
        <v>672</v>
      </c>
    </row>
    <row r="5" spans="2:12">
      <c r="C5" t="s">
        <v>677</v>
      </c>
      <c r="D5" t="s">
        <v>664</v>
      </c>
      <c r="E5">
        <v>7452132545</v>
      </c>
      <c r="F5" t="s">
        <v>678</v>
      </c>
      <c r="G5">
        <v>85</v>
      </c>
      <c r="H5">
        <v>44593</v>
      </c>
      <c r="I5" t="s">
        <v>679</v>
      </c>
      <c r="J5" t="s">
        <v>7</v>
      </c>
      <c r="K5" t="s">
        <v>40</v>
      </c>
      <c r="L5" t="s">
        <v>675</v>
      </c>
    </row>
    <row r="6" spans="2:12">
      <c r="C6" t="s">
        <v>676</v>
      </c>
      <c r="D6" t="s">
        <v>676</v>
      </c>
      <c r="E6" t="s">
        <v>676</v>
      </c>
      <c r="F6" t="s">
        <v>676</v>
      </c>
      <c r="G6" t="s">
        <v>676</v>
      </c>
      <c r="H6" t="s">
        <v>676</v>
      </c>
      <c r="I6" t="s">
        <v>676</v>
      </c>
      <c r="J6" t="s">
        <v>676</v>
      </c>
      <c r="K6" t="s">
        <v>676</v>
      </c>
      <c r="L6" t="s">
        <v>675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76FC936-0146-43FF-B372-0FF49D20F2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36</vt:i4>
      </vt:variant>
    </vt:vector>
  </HeadingPairs>
  <TitlesOfParts>
    <vt:vector size="40" baseType="lpstr">
      <vt:lpstr>Form</vt:lpstr>
      <vt:lpstr>Helper Sheet</vt:lpstr>
      <vt:lpstr>All State Data</vt:lpstr>
      <vt:lpstr>Database</vt:lpstr>
      <vt:lpstr>Andhra_Pradesh</vt:lpstr>
      <vt:lpstr>Andman___Nicobar_Island</vt:lpstr>
      <vt:lpstr>Arunachal_Pradesh</vt:lpstr>
      <vt:lpstr>Assam</vt:lpstr>
      <vt:lpstr>Bihar</vt:lpstr>
      <vt:lpstr>Chandigarh</vt:lpstr>
      <vt:lpstr>Chattisgarh</vt:lpstr>
      <vt:lpstr>Dadar___Nagar_Havali</vt:lpstr>
      <vt:lpstr>Daman___Diu</vt:lpstr>
      <vt:lpstr>Delhi</vt:lpstr>
      <vt:lpstr>Goa</vt:lpstr>
      <vt:lpstr>Gujarat</vt:lpstr>
      <vt:lpstr>Haryana</vt:lpstr>
      <vt:lpstr>Himachal_Pradesh</vt:lpstr>
      <vt:lpstr>Jammu___Kashmir</vt:lpstr>
      <vt:lpstr>Jharkhand</vt:lpstr>
      <vt:lpstr>Karnataka</vt:lpstr>
      <vt:lpstr>Kerala</vt:lpstr>
      <vt:lpstr>Lakshadweep</vt:lpstr>
      <vt:lpstr>Madhya_Pradesh</vt:lpstr>
      <vt:lpstr>Maharashtra</vt:lpstr>
      <vt:lpstr>Manipur</vt:lpstr>
      <vt:lpstr>Meghalaya</vt:lpstr>
      <vt:lpstr>Mizoram</vt:lpstr>
      <vt:lpstr>Nagaland</vt:lpstr>
      <vt:lpstr>Orissa</vt:lpstr>
      <vt:lpstr>Pondicherry</vt:lpstr>
      <vt:lpstr>Punjab</vt:lpstr>
      <vt:lpstr>Rajasthan</vt:lpstr>
      <vt:lpstr>Select_State</vt:lpstr>
      <vt:lpstr>Sikkim</vt:lpstr>
      <vt:lpstr>Tamilnadu</vt:lpstr>
      <vt:lpstr>Tripura</vt:lpstr>
      <vt:lpstr>Uttar_Pradesh</vt:lpstr>
      <vt:lpstr>Uttrakhand</vt:lpstr>
      <vt:lpstr>West_Bengal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Bhushan Gawali</dc:creator>
  <cp:lastModifiedBy>Bhushan Gawali</cp:lastModifiedBy>
  <dcterms:created xsi:type="dcterms:W3CDTF">2024-07-25T12:12:35Z</dcterms:created>
  <dcterms:modified xsi:type="dcterms:W3CDTF">2024-07-26T09:54:56Z</dcterms:modified>
</cp:coreProperties>
</file>